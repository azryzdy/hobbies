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60143ed076ae3/Desktop/Work/"/>
    </mc:Choice>
  </mc:AlternateContent>
  <xr:revisionPtr revIDLastSave="3341" documentId="8_{98EF138E-B783-427A-B5F9-8CBFC75A152E}" xr6:coauthVersionLast="47" xr6:coauthVersionMax="47" xr10:uidLastSave="{CE958E8B-4223-4FFC-AD29-B893374829E8}"/>
  <bookViews>
    <workbookView xWindow="-28920" yWindow="1830" windowWidth="29040" windowHeight="15840" activeTab="1" xr2:uid="{4658677F-DFAC-47A2-8C6E-7C4307640A24}"/>
  </bookViews>
  <sheets>
    <sheet name="Sheet1" sheetId="1" r:id="rId1"/>
    <sheet name="Rec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8" i="2" l="1"/>
  <c r="C118" i="2"/>
  <c r="D109" i="2"/>
  <c r="C109" i="2"/>
  <c r="I27" i="2"/>
  <c r="H27" i="2"/>
  <c r="D34" i="2"/>
  <c r="C34" i="2"/>
  <c r="D88" i="2"/>
  <c r="C88" i="2"/>
  <c r="D71" i="2"/>
  <c r="C71" i="2"/>
  <c r="E61" i="2"/>
  <c r="C61" i="2"/>
  <c r="H19" i="2"/>
  <c r="I19" i="2"/>
  <c r="D19" i="2"/>
  <c r="D27" i="2"/>
  <c r="D52" i="2"/>
  <c r="C52" i="2"/>
  <c r="C27" i="2"/>
  <c r="C9" i="2"/>
  <c r="C19" i="2"/>
  <c r="F8" i="2"/>
</calcChain>
</file>

<file path=xl/sharedStrings.xml><?xml version="1.0" encoding="utf-8"?>
<sst xmlns="http://schemas.openxmlformats.org/spreadsheetml/2006/main" count="1673" uniqueCount="424">
  <si>
    <t>Date</t>
  </si>
  <si>
    <t>Grocery Item</t>
  </si>
  <si>
    <t>Price</t>
  </si>
  <si>
    <t>Gardenia Original CL unit</t>
  </si>
  <si>
    <t>Sab Reni Elbows no.3 (macaroni)</t>
  </si>
  <si>
    <t>Anti bax sc act deo 5 unit (shampoo)</t>
  </si>
  <si>
    <t>Nutriplus classic eg unit (eggs 3 width)</t>
  </si>
  <si>
    <t>Store</t>
  </si>
  <si>
    <t>Village Grocer</t>
  </si>
  <si>
    <t>Lotus</t>
  </si>
  <si>
    <t>FP Strips (vegetable patty)</t>
  </si>
  <si>
    <t xml:space="preserve">maggi 2 m </t>
  </si>
  <si>
    <t>sigma fren (fries)</t>
  </si>
  <si>
    <t>prego carb</t>
  </si>
  <si>
    <t>ramly chich (burger patty)</t>
  </si>
  <si>
    <t>knorr chich (kiub ayam thingy)</t>
  </si>
  <si>
    <t>Planta Margarine (450g)</t>
  </si>
  <si>
    <t>QL Fresh eggs (3x3)</t>
  </si>
  <si>
    <t>Gardenia Original Jumbo</t>
  </si>
  <si>
    <t>Trio Seed Pak Choy</t>
  </si>
  <si>
    <t>Diy</t>
  </si>
  <si>
    <t>Breeze liquid comfort 1.5kg</t>
  </si>
  <si>
    <t>Jaya Grocer</t>
  </si>
  <si>
    <t>MASSIMO SANDWICH LOA unit</t>
  </si>
  <si>
    <t>Prego Carbonara Mush</t>
  </si>
  <si>
    <t>KCA Kitchen Towel 60 units</t>
  </si>
  <si>
    <t>Campbell Cream of Unit</t>
  </si>
  <si>
    <t>Mighty Long Sdwich (roti)</t>
  </si>
  <si>
    <t>MAGGI BIG CHICKEN 5X UNIT</t>
  </si>
  <si>
    <t>REXONA MEN DEO SPRAY unit</t>
  </si>
  <si>
    <t>MYDIBEL WEDGES SPICY unit</t>
  </si>
  <si>
    <t>QL OMEGA 3 &amp; DHA ENRICHED (eggs 3X3)</t>
  </si>
  <si>
    <t>Ridsect Aerosol ADVA Unit</t>
  </si>
  <si>
    <t>MCCAIN CRINKLE CUT 6 UNIT (fries)</t>
  </si>
  <si>
    <t>MAMEE PREMIUM CURRY unit</t>
  </si>
  <si>
    <t>GVC/Conditioner for Oily Hair 300ML</t>
  </si>
  <si>
    <t>GVC/Shampoo FR A/H Types 300ML</t>
  </si>
  <si>
    <t>SHOKUBUTSU MOIST FRESH GREEN 800G</t>
  </si>
  <si>
    <t>Gardenia Original Classic Jumbo 600G</t>
  </si>
  <si>
    <t>ORAL-B Complete Easy Clean 3S Soft Blist</t>
  </si>
  <si>
    <t>Taj Mahal Herba Ponni Rice 1KG</t>
  </si>
  <si>
    <t>Heinz Easy Squeeze Ketchup 14oz</t>
  </si>
  <si>
    <t>QL OMEGA 3 &amp; DHA ENRICHED (10 eggs)</t>
  </si>
  <si>
    <t>FLORIDIA SHREDDED MOZZARELLA 200G</t>
  </si>
  <si>
    <t>KELLOGG/S CORN FLAKES 275G</t>
  </si>
  <si>
    <t>FARM FRESH COWS MILK 1LIT</t>
  </si>
  <si>
    <t>MAGGI CURRY (15SX79G)</t>
  </si>
  <si>
    <t>DONNA VERRA GOMITI 80 GREEN 450G</t>
  </si>
  <si>
    <t>PREGO TRADITIONAL ASTE SAUCE 350G</t>
  </si>
  <si>
    <t>NUTRIPLUS LOW CHOLESTROL EGG(10S)</t>
  </si>
  <si>
    <t>GARDENIA ORIGINAL CLSSIC JUMBO 600G</t>
  </si>
  <si>
    <t>HARPIC BATHROOM CLEANER ROSE 450ML</t>
  </si>
  <si>
    <t>MAGICLEAN B/ROOM 500ML  +S/REMOVER 500ML</t>
  </si>
  <si>
    <t>COLGATE TBM EASY COMFORT CHARCL SPIRAL</t>
  </si>
  <si>
    <t>PLASTIC SPOON 6IN 50S</t>
  </si>
  <si>
    <t>COLGATE T. PLAQUE RLSE GENT. FRAG/MINT95G</t>
  </si>
  <si>
    <t>HAPPYEGG MLTI GRAINS 15S</t>
  </si>
  <si>
    <t>HEINZ KETCHUP ORGANIC (US) 1402</t>
  </si>
  <si>
    <t>ADABI SUP BANJUT 8G</t>
  </si>
  <si>
    <t>GINGER-OLD HALIA TUA (THA) K10</t>
  </si>
  <si>
    <t>AQINA CHICKEN</t>
  </si>
  <si>
    <t>LINGHAM CHILLLI SAUCE (SQUEEZE) 266ML</t>
  </si>
  <si>
    <t>MAGGI MI CURRY (1X5S+1XS79G)</t>
  </si>
  <si>
    <t>FARM FRESH LACTOSE FREE MILK 10LT</t>
  </si>
  <si>
    <t>CARA PRIMA 70 CHICKEN BURGER 6X70G</t>
  </si>
  <si>
    <t>EMBORG FRENCH FRIES SHOESSTRING 1KG</t>
  </si>
  <si>
    <t>NORR KIUB PATI SAYURAN 60G</t>
  </si>
  <si>
    <t>CARROT-PACK 500G (AUS) P20</t>
  </si>
  <si>
    <t>UBI KENTANG ©</t>
  </si>
  <si>
    <t>BAWANG KECIL</t>
  </si>
  <si>
    <t>ZEN H/WASH ROYAL JELLY 500ML</t>
  </si>
  <si>
    <t>AYAM BAKED BEANS 230G</t>
  </si>
  <si>
    <t>SYSTEMA TOOTHBRUSH</t>
  </si>
  <si>
    <t>QL OMEGA 3 &amp; DHA ENRICHED</t>
  </si>
  <si>
    <t>BAWANG PUTIH</t>
  </si>
  <si>
    <t>POTATO RUSSET (USA) K22.5</t>
  </si>
  <si>
    <t>GINGER-OLD HALIA TUA (THA) K9</t>
  </si>
  <si>
    <t>ADABI SUP BUNJUT 8G</t>
  </si>
  <si>
    <t>GARDENIA ORIGINAL CLASSIC 400G * 1</t>
  </si>
  <si>
    <t>VIT'S ITALIAN MI GRG CARBONARA 4'S X 85 G</t>
  </si>
  <si>
    <t>SUMMERFIELD LOW FAT MILK 1LIT</t>
  </si>
  <si>
    <t>MAGGI CURRY (5+1X79G) UNIT</t>
  </si>
  <si>
    <t>CPB CREAM OF CHICKEN UNIT</t>
  </si>
  <si>
    <t>PRIMA CHICKEN BURGER UNIT</t>
  </si>
  <si>
    <t>FARM FRESH MILK 1L UNIT</t>
  </si>
  <si>
    <t>QL D'FRESH L 10'S UNIT</t>
  </si>
  <si>
    <t>ABF CHICKEN THIGH KG</t>
  </si>
  <si>
    <t>AYAM BRAN BAKED BEAN</t>
  </si>
  <si>
    <t>SAN REMO NO.35 ELBOW 500G *1</t>
  </si>
  <si>
    <t>PLASTIC BAG *1</t>
  </si>
  <si>
    <t>DIAMOND BAKING &amp; COOKING PAPER 5M</t>
  </si>
  <si>
    <t>OC PLASTIC KNIFE 6IN 20S</t>
  </si>
  <si>
    <t>NUTRIPLUS CLASSIC EGG 10'S * 1</t>
  </si>
  <si>
    <t>POTATO -RUSSET (USA) K22.5</t>
  </si>
  <si>
    <t>SANTE GRANOLA NUTS 350G</t>
  </si>
  <si>
    <t>DL STERILISED FULL CREAM MILK 450ML * 1</t>
  </si>
  <si>
    <t>LK FRESH EGGS ALL NA unit</t>
  </si>
  <si>
    <t>INDOMIE MI GORENG SP UNIT</t>
  </si>
  <si>
    <t>FROZEN OMEGA 3 SUPER</t>
  </si>
  <si>
    <t>CPB CREAM OF MUSHROOM UNIT</t>
  </si>
  <si>
    <t>PREMIUM HOLLAND POTA</t>
  </si>
  <si>
    <t>YEOS CURRY CHICKEN 2 UNIT</t>
  </si>
  <si>
    <t>YEOS VINDALOO CHIC 2 UNIT</t>
  </si>
  <si>
    <t>ADAB SUP BUNJUT 8G 2 UNIT</t>
  </si>
  <si>
    <t>ROYAL GOLD LUXURIOUS UNIT</t>
  </si>
  <si>
    <t>AYAM BRAND CURRY CHIC 180G</t>
  </si>
  <si>
    <t>CARROT (AUS)</t>
  </si>
  <si>
    <t>BAWANG BESAR MERAH</t>
  </si>
  <si>
    <t>GINGER OLD HALIA TUA</t>
  </si>
  <si>
    <t>TIAU YOKE MEE KUNING 450G (MYS)</t>
  </si>
  <si>
    <t>CAMPBELLS CREAM OF MUSHROOM 290G</t>
  </si>
  <si>
    <t>KARA COCONUT CREAM 65ML</t>
  </si>
  <si>
    <t>CHICKEN WING ABF</t>
  </si>
  <si>
    <t>ADABI PERENCAH MEE BANDUNG 40G</t>
  </si>
  <si>
    <t>MUSHROOM BEBOLA IKAN PUTIH 160G</t>
  </si>
  <si>
    <t>CAMPBELL INST WILD MUSHROOM 3SX16.8G</t>
  </si>
  <si>
    <t>NUTRIPLUS ORGANIC SELENIUM EGG (10S)</t>
  </si>
  <si>
    <t>SIEW PAK CHOY KG</t>
  </si>
  <si>
    <t>ADABI PERENCAH MEE B UNIT</t>
  </si>
  <si>
    <t>ADABI MEE SUP 20G UNIT</t>
  </si>
  <si>
    <t>MARIGOLD HL STRAWBER UNIT</t>
  </si>
  <si>
    <t>AYAM TUNA CHUNK OLIVE OIL LIGHT 150G</t>
  </si>
  <si>
    <t>CHEONG FATT TOFU GORENG LONG 70G*1</t>
  </si>
  <si>
    <t>MUSHROOM IKAN BULAT 10S*1</t>
  </si>
  <si>
    <t>ADABI PERENCAH TOM YAM SEAFOOD 40G*1</t>
  </si>
  <si>
    <t>ADABI PERENCAH MEE BANDUNG 40G*1</t>
  </si>
  <si>
    <t>MEE RAKYAT - MEE KUNING 450G (MYS) P10</t>
  </si>
  <si>
    <t>F&amp;N GRAPE 1.5L</t>
  </si>
  <si>
    <t>Malakat Mall</t>
  </si>
  <si>
    <t>DRINHO SOYA BEAN 1L</t>
  </si>
  <si>
    <t>TC BUY S/W/MEAT TUNA EXTRA/U/O/OIL 150G*1</t>
  </si>
  <si>
    <t>POTATO-RUSSET (USA) K22.5</t>
  </si>
  <si>
    <t>GINGER-OLD HALIA TUA (THA) KG</t>
  </si>
  <si>
    <t>LACTO PLUS III CHICK CURRY CUTS 400G +/-</t>
  </si>
  <si>
    <t>SPRITE 1.5LIT *1</t>
  </si>
  <si>
    <t>ADABI PERENCAH ODEN KIMCHI 120G</t>
  </si>
  <si>
    <t>MARINA TEMPURA CHIC NUGGET VEGE 750G</t>
  </si>
  <si>
    <t>MAGGI CHICKEN STOCK CUBE 60G * 1</t>
  </si>
  <si>
    <t>CHILI-RED (CILI MERAH) (MYS) K5</t>
  </si>
  <si>
    <t>KEY LIME (LIMAU NIPIS)</t>
  </si>
  <si>
    <t>BAWANG ROSE *1</t>
  </si>
  <si>
    <t>ADABI S/NASI GORENG CINA 1KG</t>
  </si>
  <si>
    <t>KAWAN CRINKLE CUT POTATOES 1KG (FRIES)</t>
  </si>
  <si>
    <t>AYAM TUNA FLAKES IN SUNFLOWER OIL 150G</t>
  </si>
  <si>
    <t>KELLOG/S CORN FLAKES 275G</t>
  </si>
  <si>
    <t>WALCH CLD OXI CLEAN ORIGINAL REF 2LIT</t>
  </si>
  <si>
    <t>FARM FRITES SHOESSTRING 1KG * 1</t>
  </si>
  <si>
    <t>BAWANG PUTIH * 1</t>
  </si>
  <si>
    <t>DARA PRIMA 70 CHICKEN BURGER 6*70G</t>
  </si>
  <si>
    <t>MARIANTED CHICKEN RIB * 1</t>
  </si>
  <si>
    <t>CG PROBIOTIC SIEW PAK CHOY 250G (MYS)P10</t>
  </si>
  <si>
    <t>LC SAM TAUFU BAN TONG (PANJANG) 70G * 1</t>
  </si>
  <si>
    <t>MUSHROOM-VT GREY OYSTER 200G (MYS)</t>
  </si>
  <si>
    <t>FARM FRESH COWS MILK 1LIT * 1</t>
  </si>
  <si>
    <t>CHICKEN WING DRUMSTICK ABF</t>
  </si>
  <si>
    <t>HEXA OREGANO LEAVES 20G * 1</t>
  </si>
  <si>
    <t>ADABI SUP BUNJUT 8G * 1</t>
  </si>
  <si>
    <t>MERIAHS GARLIC POWDER 50G * 1</t>
  </si>
  <si>
    <t>LK FRESH LOVEGG FEED FORMULA MAC&amp;CUIT * 1</t>
  </si>
  <si>
    <t>BAWANG ROSE * 1</t>
  </si>
  <si>
    <t>F&amp;N SEASONS SOYA BEAN 1LT</t>
  </si>
  <si>
    <t>GINGER -OLD HALIA TUA</t>
  </si>
  <si>
    <t>SAN REMO NO.2 VERMICELLI 500G*1</t>
  </si>
  <si>
    <t>GLOBO TOM YUM PASTE 30G</t>
  </si>
  <si>
    <t>PERTIWI FRANKFURTER 300G*1</t>
  </si>
  <si>
    <t>AYAM TUNA CHUNK M/WATER LIGHT 150G*1</t>
  </si>
  <si>
    <t>NP DRG TOM YUM SET 200G (THA) P50</t>
  </si>
  <si>
    <t>GARDENIA ORIGINAL CLASSIC JUMBO 600G*1</t>
  </si>
  <si>
    <t>AQINA CHICKEN RIBS ABF</t>
  </si>
  <si>
    <t>MUSHROOM-SCV OYSTER MUSHROOM 200G (MYS)</t>
  </si>
  <si>
    <t>CILI WHITE FISH BALL 160G</t>
  </si>
  <si>
    <t>MUSHROOM FISH CAKE (LONG) 170G</t>
  </si>
  <si>
    <t>KNORR CHICKEN CUBE (3LTR)60G*1</t>
  </si>
  <si>
    <t>KIMBALL OYSTER SAUCE 255G*1</t>
  </si>
  <si>
    <t>KIPAS UDANG KICAP L/MANIS 345*1</t>
  </si>
  <si>
    <t>OC SINGLET BAG-SRL 15X17INX50S PK</t>
  </si>
  <si>
    <t>FARM FRESH SOY MILK ORIGINAL 1L</t>
  </si>
  <si>
    <t>IAU YOKE - MEE KUNING 450G (MYS)</t>
  </si>
  <si>
    <t>NUTRIPLUS OMEGA (10S)</t>
  </si>
  <si>
    <t>CALAMANSI (LIMAU KASTURI) (MYS)</t>
  </si>
  <si>
    <t>BAWANG ROSE*1</t>
  </si>
  <si>
    <t>ADABI PERENCAH SUP DAGING &amp; TULANG 40G</t>
  </si>
  <si>
    <t>5. 9</t>
  </si>
  <si>
    <t>CINTAN I/MEE CHICKEN (1X5SX75G)</t>
  </si>
  <si>
    <t>GLUTEN BALL VEGETARIAN 10S (PKT) * 1</t>
  </si>
  <si>
    <t>FUCUK KULIT MASIN * 1</t>
  </si>
  <si>
    <t>CAMPBELLS INST M/ROOM SOUP (1X3X21. 1G) *1</t>
  </si>
  <si>
    <t>MAGGI AYAM GORENG BEREMPAH 100G</t>
  </si>
  <si>
    <t>AYAM C/TUNA FALKES IN WATER(LIGHT) 150G*1</t>
  </si>
  <si>
    <t>Sup Ayam</t>
  </si>
  <si>
    <t>Ayam Kurma</t>
  </si>
  <si>
    <t>Santan</t>
  </si>
  <si>
    <t>Bawang Merah</t>
  </si>
  <si>
    <t>Bawang Putih</t>
  </si>
  <si>
    <t>Serbuk kurma</t>
  </si>
  <si>
    <t>Potato</t>
  </si>
  <si>
    <t xml:space="preserve">Ayam </t>
  </si>
  <si>
    <t xml:space="preserve"> </t>
  </si>
  <si>
    <t>KELLOG/S CORN FLAKES 500G*1</t>
  </si>
  <si>
    <t>DAISY MAGERINE 480G*1</t>
  </si>
  <si>
    <t>LINGHAM/S CHILL SAUCE GARLIC 266ML</t>
  </si>
  <si>
    <t>MARINA CHICKEN FRIES 400G*1</t>
  </si>
  <si>
    <t>BABA/S SERBUK KUNYIT 25G*1</t>
  </si>
  <si>
    <t>Ayam Rempah</t>
  </si>
  <si>
    <t>FARM FRESH COW MILK 568ML</t>
  </si>
  <si>
    <t>KELLOGG/S CORN FLAKES 500G</t>
  </si>
  <si>
    <t>MAGGI M2MN BIG KARI 5 SX106G * 1</t>
  </si>
  <si>
    <t>GARDENIA ORIGINAL CLASSIC JUMBO 600G</t>
  </si>
  <si>
    <t>ADABI SUP BUNJUT 8G*1</t>
  </si>
  <si>
    <t>SPRITE ZERO 1.5LT</t>
  </si>
  <si>
    <t>SAN REMO QUICK COOK SPAGHETTI</t>
  </si>
  <si>
    <t>CHICKEN DRUMSTICK ABF</t>
  </si>
  <si>
    <t>GARDENIA ORIGINAL CLASSIC JUMBO 600G *1</t>
  </si>
  <si>
    <t>KELLOG/S CORN FLAKES 275G*1</t>
  </si>
  <si>
    <t>AQINA CHICKEN WING ABF</t>
  </si>
  <si>
    <t>SPRITE 1.5L*1</t>
  </si>
  <si>
    <t>KELLOG/S CORNFLAKES JUMBO 500GM*1</t>
  </si>
  <si>
    <t>AYAM TUNA CHUNKS M/WATER LIGHT 150G*1</t>
  </si>
  <si>
    <t>MAGGI AYAM PERCIK 100G</t>
  </si>
  <si>
    <t>A&amp;W SAHSAPARILA 1.5LIT*1</t>
  </si>
  <si>
    <t>MAGNOLIA I/C VANILLA 1.5LIT * 1</t>
  </si>
  <si>
    <t xml:space="preserve">BAWANG ROSE * </t>
  </si>
  <si>
    <t>CARROT-PACK 500G (AUS) P40</t>
  </si>
  <si>
    <t>SEKOPLAS HDPE SINGLET BAG-L (17X19INX100S)</t>
  </si>
  <si>
    <t>TRICTIOUS 9.5IN PZ-HAWAIIAN CHIC 350G*1</t>
  </si>
  <si>
    <t>FARM FRITES CRINKLE CUT 1KG*1</t>
  </si>
  <si>
    <t>AQINA DRUMSTICK ABF</t>
  </si>
  <si>
    <t>LIFEBUOY BW CHARCOAL MINT REF 850ML</t>
  </si>
  <si>
    <t>RAMLY CHICKEN BURGER 420GM</t>
  </si>
  <si>
    <t>GARDENIA ORIGNAL CLASSIC JUMBO 600G</t>
  </si>
  <si>
    <t>MI SEDAAP GORENG AYAM BAKAR LIMAU 5X89G</t>
  </si>
  <si>
    <t>CARROT PACK 500G (AUS) P40</t>
  </si>
  <si>
    <t>TS POTATO - BABY SPUDLITE 750G  (AUS) P20</t>
  </si>
  <si>
    <t>DAISY CORN OIL 500G  *1</t>
  </si>
  <si>
    <t>TELLY MAYO ALL PURPOSE DRESSING 230ML</t>
  </si>
  <si>
    <t>AYAM TUNA MAYONNAISE LIGHT 160G *1</t>
  </si>
  <si>
    <t>SAN REMO RUICK COOK SPAGETTI 500G</t>
  </si>
  <si>
    <t>FARM/S BEST SMOKE FRANKFURTHERS 340G*1</t>
  </si>
  <si>
    <t>DAISY MARGARINE 1KG*1</t>
  </si>
  <si>
    <t>KINDS ICECREAM VANILLA 1.2LIT*1</t>
  </si>
  <si>
    <t>DARLIE TOOTHPASTE (ECONOMY SIZE 100G*1</t>
  </si>
  <si>
    <t>KING/S CHOC CHIP T 2LIT*1</t>
  </si>
  <si>
    <t>Spaghetti</t>
  </si>
  <si>
    <t>FARM FRIES CRINKLE CUT 1KG*1</t>
  </si>
  <si>
    <t>CAMERON TOMATO (MYS) K20</t>
  </si>
  <si>
    <t>RIDSECT ARSL AVANCE 270ML *1</t>
  </si>
  <si>
    <t>FUMAKILLA HIT AEROSOL 576ML *1</t>
  </si>
  <si>
    <t>KING/S I/CREAM COOKIES N CREAM 1.2LIT*1</t>
  </si>
  <si>
    <t>CAMPBELLS CREAM OF CHICKIEN 300G * 1</t>
  </si>
  <si>
    <t>A&amp;W SARSAPARILA 1.5LIT *1</t>
  </si>
  <si>
    <t>AQUINA DRUMSTICK ABF</t>
  </si>
  <si>
    <t>NUTAPLUS ORGANIC SELENIUM EGG (10S) *1</t>
  </si>
  <si>
    <t>HEXA PARSLEY LEAVES 15G</t>
  </si>
  <si>
    <t>BULLA REDUCED FAT VANILLA 2L</t>
  </si>
  <si>
    <t>NATUREL EXTRA LIGHT OLIVE OIL 500ML</t>
  </si>
  <si>
    <t>Baked Chicken Tomato</t>
  </si>
  <si>
    <t>CHICKEN DRUMSTICK ©</t>
  </si>
  <si>
    <t>EDGED BLUE PORCELAIN DEEP PLATE 9IN</t>
  </si>
  <si>
    <t>AYAM DELI TUNA MAYONNAISE 160G</t>
  </si>
  <si>
    <t>INDOMIE MI GORENG HOT &amp; SPICY</t>
  </si>
  <si>
    <t>FIRST PRIDE FRIED CHICKEN ORIGINAL 700G</t>
  </si>
  <si>
    <t>RAMBLY OBLONG CHICKEN BURGER 350G</t>
  </si>
  <si>
    <t>ARLA BURGER SLICE CHEESE 200G</t>
  </si>
  <si>
    <t>BUTTERCUP 227G</t>
  </si>
  <si>
    <t>F&amp;N EFM SAVOURY (YELLOW) 390G *1</t>
  </si>
  <si>
    <t>FARM FRESH COWS MILK 1LIT *1</t>
  </si>
  <si>
    <t>MacNCheese</t>
  </si>
  <si>
    <t>LOTUSS SHO</t>
  </si>
  <si>
    <t>NUTRI+ OME</t>
  </si>
  <si>
    <t>MAGGI AYAM</t>
  </si>
  <si>
    <t>CHESDALE C</t>
  </si>
  <si>
    <t>MAGNOLIA I/C TRIPOLITAN 1.4LIT *1</t>
  </si>
  <si>
    <t>CHICKEN RIBS ABF</t>
  </si>
  <si>
    <t>BAWANG BESAR MERAH (INDIA) *1</t>
  </si>
  <si>
    <t>HOLLYFARM BLACK PEPPER COARSE 70G *1</t>
  </si>
  <si>
    <t>HEINZ CHILLI SAUCE 305G *1</t>
  </si>
  <si>
    <t>SYSTEMA TOOTHBRUSH (ACTIVE CHARCOAL)2S *1</t>
  </si>
  <si>
    <t>PEPSODENT T/PASTE COMPLETES HERBAL 190G *1</t>
  </si>
  <si>
    <t>GLAD COOK &amp; BAKE N/S PAPER 5MX30CM</t>
  </si>
  <si>
    <t>TAICO COLOUR SCOURING PAD 4S 130G</t>
  </si>
  <si>
    <t>TC BOY TUNA S/WICH DELITE 150G</t>
  </si>
  <si>
    <t>TIP TOP HOKEY POKEY 2LIT *1</t>
  </si>
  <si>
    <t>OVEN MITT ECRU</t>
  </si>
  <si>
    <t>AEON CO</t>
  </si>
  <si>
    <t>TOILET BRUSH</t>
  </si>
  <si>
    <t>COLOR LIFE PALM SLIM TOILET BR</t>
  </si>
  <si>
    <t>BAKERS CHOICE TEPUNG GANDUM 1KG *1</t>
  </si>
  <si>
    <t>SPRITE 1.5 LIT</t>
  </si>
  <si>
    <t>CHICKEN  THIGH ABF</t>
  </si>
  <si>
    <t>HARUMI CHICKEN DRUMSTICK</t>
  </si>
  <si>
    <t>F&amp;N SEASONS SOYA BEAN 1LIT</t>
  </si>
  <si>
    <t>BROCOLLI (CHN) P24</t>
  </si>
  <si>
    <t>CAULIFLOWER - WHITE (AUS)</t>
  </si>
  <si>
    <t>YS SIAKAP A (CC)</t>
  </si>
  <si>
    <t>fish</t>
  </si>
  <si>
    <t>LIFEBOUY BODYWASH REFILL CHARCOAL 800ML</t>
  </si>
  <si>
    <t>GARDENIA ORIGINAL CLASS 400G *1</t>
  </si>
  <si>
    <t>NUTRIPLUS ORGANIC SELENIUM EGO (10S) *1</t>
  </si>
  <si>
    <t>ADABI PERENCAH IKAN BAKAR 70G</t>
  </si>
  <si>
    <t>WALL/S I/C NEAPOLITAN 1.4LTR *1</t>
  </si>
  <si>
    <t>ROYAL GOLD LUXURIOUS KITCHEN TOWEL 55SX6 ROLL</t>
  </si>
  <si>
    <t>KELLOGG/S CORNFLAKES JUMBO 500GM *1</t>
  </si>
  <si>
    <t>DL DHT LOW FAT MILK 1LIT *1</t>
  </si>
  <si>
    <t>NESCAFE ICED CARAMEL 500ML</t>
  </si>
  <si>
    <t>WALL/S I/C PP RAINBOW 1.4LTR *1</t>
  </si>
  <si>
    <t>CAULIFLOWER - WHITE (CHN)K11 5</t>
  </si>
  <si>
    <t>VITAGEN ASSORTED (1X5SX125ML) *1</t>
  </si>
  <si>
    <t>EMBORG ONION RING 450G *1</t>
  </si>
  <si>
    <t>KAWAN CRINKLE CUT POTATOES 1KG *1</t>
  </si>
  <si>
    <t>MARINA SQUARE BURGER 438G *1</t>
  </si>
  <si>
    <t>CHICKEN THIGH ABF</t>
  </si>
  <si>
    <t>A&amp;W SARSPARILA 1.5LIT *1</t>
  </si>
  <si>
    <t>CAULIFLOWER-WHITE (CHN)K11.5</t>
  </si>
  <si>
    <t>NUTRIPLUS OMEGA L</t>
  </si>
  <si>
    <t>NSK</t>
  </si>
  <si>
    <t>FANTES T/B CHARCOAL</t>
  </si>
  <si>
    <t>FT0250R FANTES HMS</t>
  </si>
  <si>
    <t>AQUINA WHOLE LEG ABF</t>
  </si>
  <si>
    <t>GILLETTE BLUE II PLUS ULT SEN 5/S +1</t>
  </si>
  <si>
    <t>BROCOLLI (AUS) K8</t>
  </si>
  <si>
    <t>AYAM BRAND SABA DELI NATURAL 160G</t>
  </si>
  <si>
    <t>GARDENIA ORIGNAL CLASSIC 400G</t>
  </si>
  <si>
    <t>VITAGEN APPLE (1X5X125ML) *1</t>
  </si>
  <si>
    <t>F&amp;N SS ICE LEMON TEA (A) PET 1.5L</t>
  </si>
  <si>
    <t>LEMONGRASS (SERAI) 170G (MYS) P25</t>
  </si>
  <si>
    <t>NUTRIPLUS OMEGA 3 EGG (10S) *1</t>
  </si>
  <si>
    <t>MAMEE PREMIUM NOODLES CURRY (1X5SX75G) *1</t>
  </si>
  <si>
    <t>KING TO NIN JIOM PEI PA KOA 75ML *1</t>
  </si>
  <si>
    <t>EA BABY CORN 100G (THA) P10</t>
  </si>
  <si>
    <t>TY MUSHROOM - ENOKI 100G (THA) P50</t>
  </si>
  <si>
    <t>BAWANG BESAR KUNING *1</t>
  </si>
  <si>
    <t>HARUMI CHICKEN WHOLE LEG</t>
  </si>
  <si>
    <t>GINGER- GALANGAL (LENGKUAS) 200G (MYS) P10</t>
  </si>
  <si>
    <t>YK DAUN LIMAU PURUT 20G (MYS) P10</t>
  </si>
  <si>
    <t>YK CORIANDER (KETUMBAR) 50G (MYS) P20</t>
  </si>
  <si>
    <t>CHILI-PADI (KAMPUNG) (MYS)</t>
  </si>
  <si>
    <t>MAE PRANOM INSTANT TOMYUM PASTE 114G *1</t>
  </si>
  <si>
    <t>JOHN CRAFT KNIFE BLACK HANDLE 7IN 6047</t>
  </si>
  <si>
    <t>METAL STRAINGER 20CM</t>
  </si>
  <si>
    <t>Tomyam</t>
  </si>
  <si>
    <t>HEINZ TOMATO KETCHUP 300G *1</t>
  </si>
  <si>
    <t>ABC KICAP MANIS 132ML *1</t>
  </si>
  <si>
    <t>BAWANG PUTIH *1</t>
  </si>
  <si>
    <t>MUSHROOM-ENOKI 100GM (MYS) P50</t>
  </si>
  <si>
    <t xml:space="preserve">In order
letak 
air (sampai panas)
lengkuas
serai
daun limau purut
daun ketumbar (then wait for 5 minutes)
and then letak ayam
letak kiub ayam
letak sos ikan
letak sos tiram
tomyam paste
garam
bawang holland
kobis bunga
mushroom
 </t>
  </si>
  <si>
    <t>KNORR CHICKEN CUBES NO MSG(6S) 60G</t>
  </si>
  <si>
    <t>CUCUMBER - JAPANESE (KYURI) (MYS) K10</t>
  </si>
  <si>
    <t>Ayam Rempah part 2</t>
  </si>
  <si>
    <t>Crispy chicken</t>
  </si>
  <si>
    <t>Basuh ayam</t>
  </si>
  <si>
    <t>cucuk ayam guna garpu</t>
  </si>
  <si>
    <t>letak garam as marinate</t>
  </si>
  <si>
    <t>letak baking soda</t>
  </si>
  <si>
    <t>letak air</t>
  </si>
  <si>
    <t>letak 2 dua telur</t>
  </si>
  <si>
    <t>SUNGLO LASSI APPLE 700ML *1</t>
  </si>
  <si>
    <t>KBL CHILLI SAUCE 500G *1</t>
  </si>
  <si>
    <t>NUTRIPLUS ORGANIC SELENIUM EGG (10S) *1</t>
  </si>
  <si>
    <t>LONG BEAN (KACANG PANJANG) (MYS)</t>
  </si>
  <si>
    <t>PUTERI CHILLI GILING (3 IN 1) 200G *1</t>
  </si>
  <si>
    <t>YK CHILI-PADI RED 100G (THA) P40</t>
  </si>
  <si>
    <t>CAPSICUM-RED (MYS) K5</t>
  </si>
  <si>
    <t>BANANA-HS LAKATAN BERANGAN (MYS) K15</t>
  </si>
  <si>
    <t>CG PROBIOTIC SIEW PAK CHOY 250G (MYS)P20</t>
  </si>
  <si>
    <t>FACE TOWEL-DARK PLAIN 12X12IN 40G 2209</t>
  </si>
  <si>
    <t>GVC A/B SHOWER CREAM - L&amp;W/M-REFILL 550G</t>
  </si>
  <si>
    <t>SUNWHITE BERAS WANGI 1KG *1</t>
  </si>
  <si>
    <t>SEASONS CHRYSANTHENUM TEA 1LIT *1</t>
  </si>
  <si>
    <t>Spaghetti with chicken</t>
  </si>
  <si>
    <t>MARINA TEMPURA CHICKEN NUGGET 750G</t>
  </si>
  <si>
    <t>NUTRIPLUS ORGANIC SELENIUM EGG  (10S) *1</t>
  </si>
  <si>
    <t>SEKOPLAS ENVIROPLUS GARBAGE ROLL -M (68X84CMX20S) GN</t>
  </si>
  <si>
    <t>GAREDNIA ORIGINAL CLASSIC JUMBO 600 *1</t>
  </si>
  <si>
    <t>SAN REMO INSTANT LASAGNA 250G *1</t>
  </si>
  <si>
    <t>PREGO MUSHROOM PASTE SAUCE 350G *1</t>
  </si>
  <si>
    <t>MUSHROOM-BUNA SHIMEIJI 150 (CHN)P40</t>
  </si>
  <si>
    <t>HARUMI CHICKEN RIBS</t>
  </si>
  <si>
    <t>FAMILY PIZZA TOPPING MO/SHREDDED 150G *1</t>
  </si>
  <si>
    <t>TAE PEI BAWANG GORENG 100G *1</t>
  </si>
  <si>
    <t>CG PROBIOTIC LEAF CELERY (DAUN SUP) 100G</t>
  </si>
  <si>
    <t>MERIAH WHITE PEPPER POWDER 60G</t>
  </si>
  <si>
    <t>COLGATE TOTAL SENSITIVITY &amp; GUM 110G</t>
  </si>
  <si>
    <t>BAWANG KECIL *1</t>
  </si>
  <si>
    <t>LIFE TOMATO SAUCE 485G *1</t>
  </si>
  <si>
    <t>7 UP 1.5LIT *1</t>
  </si>
  <si>
    <t>OLD GINGER BENTONG (HALIA TUA BENTONG)</t>
  </si>
  <si>
    <t>YK SIEW  PAK CHOY 250G (MYS) P10</t>
  </si>
  <si>
    <t>DMB BELACAN BAKAR 20G *1</t>
  </si>
  <si>
    <t>DL UHT MILK LOW FAT 6X200ML *1</t>
  </si>
  <si>
    <t>CHEK HUP MICROGROUND MATCHA LATTE 6X23G</t>
  </si>
  <si>
    <t>NESTLE KIT KAT HOT CHOCOLATE PREMIX 10X33G</t>
  </si>
  <si>
    <t>MUSHROOM-WHITE BUTTON SLICES 125G P20</t>
  </si>
  <si>
    <t>MISSION TORTILLA ONION &amp; CHIVE 360GM *1</t>
  </si>
  <si>
    <t>PREGO MUSHROOM PASTE SAUCE 680G *1</t>
  </si>
  <si>
    <t>LABOUR PASTE DISHWAS (LIME) 750G *1</t>
  </si>
  <si>
    <t>Pizza Wraps</t>
  </si>
  <si>
    <t>ZUS SIGN MIXES COFFEE - DOLCE LATTE</t>
  </si>
  <si>
    <t>PREMIER KITCHEN TOWEL 60SX6ROLLS *1</t>
  </si>
  <si>
    <t>YARRA F FRESH FULL CREAM MILK UHT 1L</t>
  </si>
  <si>
    <t>SHOKUBUTSU CLEAN FRESH ORANGE ZEST 800G REF</t>
  </si>
  <si>
    <t>COLES JAM STRAWBERRY 450G</t>
  </si>
  <si>
    <t>TM TOFO GORENG 3PS (MYS) P10</t>
  </si>
  <si>
    <t>SAN REMO CREAMY MUSHROOM &amp; UNION 120G *1</t>
  </si>
  <si>
    <t>IKAN TALAPIA MERAH L</t>
  </si>
  <si>
    <t>CUCUMBER (TIMUN) (MYS)</t>
  </si>
  <si>
    <t>MF PARSLET FLAKES 4G *1</t>
  </si>
  <si>
    <t>MCCORMICK CHILI FLAKES 29G</t>
  </si>
  <si>
    <t>KAPAL AIR GULA MELAKA 18SX22G</t>
  </si>
  <si>
    <t>GOODAY FULL CREAM UNIT MILK 1LIT *1</t>
  </si>
  <si>
    <t>FARMCOWS DAIRY SPREAD 250G *1</t>
  </si>
  <si>
    <t>SERI MURNI 1KG *1</t>
  </si>
  <si>
    <t>IKAN KEMBONG BATU M</t>
  </si>
  <si>
    <t>AYAM MACKAREL IN TOMATO(B) 230GM *1</t>
  </si>
  <si>
    <t>GINGEROLD HALIA TUA (THA) KG</t>
  </si>
  <si>
    <t>GOODAY FUULL CREAM UHT MILK 1LIT *1</t>
  </si>
  <si>
    <t>DARA PRIMA 70 CHICKEN BURRGERR 6X70G</t>
  </si>
  <si>
    <t>EMBORG PERFECT BURGER SLICES 200G</t>
  </si>
  <si>
    <t>PERFECT ITALIANO PERFECT PIZZA 150G</t>
  </si>
  <si>
    <t>HAPPYEGG OMEGA PLUS LUTEIN 10S</t>
  </si>
  <si>
    <t>FRENCH LOAF *1</t>
  </si>
  <si>
    <t>BITAGEN ASSORTED (1X5SX125ML) *1</t>
  </si>
  <si>
    <t>KICKAPOO JOY JUICE 1.5LIT *1</t>
  </si>
  <si>
    <t>ROKEBY PROTEIN DUTCH CHOCOLATE 425ML</t>
  </si>
  <si>
    <t>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</si>
</sst>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14" fontId="0" fillId="2" borderId="1" xfId="0" applyNumberFormat="1" applyFill="1" applyBorder="1"/>
    <xf numFmtId="2" fontId="0" fillId="2" borderId="2" xfId="0" applyNumberFormat="1" applyFill="1" applyBorder="1" applyAlignment="1">
      <alignment horizontal="center" vertical="center"/>
    </xf>
    <xf numFmtId="14" fontId="0" fillId="0" borderId="1" xfId="0" applyNumberFormat="1" applyBorder="1"/>
    <xf numFmtId="2" fontId="0" fillId="0" borderId="2" xfId="0" applyNumberFormat="1" applyBorder="1" applyAlignment="1">
      <alignment horizontal="center" vertical="center"/>
    </xf>
    <xf numFmtId="2" fontId="0" fillId="0" borderId="0" xfId="0" applyNumberFormat="1"/>
    <xf numFmtId="0" fontId="0" fillId="3" borderId="0" xfId="0" applyFill="1"/>
    <xf numFmtId="0" fontId="0" fillId="3" borderId="4" xfId="0" applyFill="1" applyBorder="1"/>
    <xf numFmtId="0" fontId="0" fillId="0" borderId="4" xfId="0" applyBorder="1"/>
    <xf numFmtId="0" fontId="0" fillId="2" borderId="4" xfId="0" applyFill="1" applyBorder="1"/>
    <xf numFmtId="2" fontId="0" fillId="2" borderId="4" xfId="0" applyNumberForma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/>
    <xf numFmtId="2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">
    <dxf>
      <numFmt numFmtId="2" formatCode="0.00"/>
      <alignment horizontal="center" vertical="center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3E7CD-18A2-4918-AE48-6D9DD5DB55B7}" name="Table1" displayName="Table1" ref="A1:D781" totalsRowShown="0">
  <autoFilter ref="A1:D781" xr:uid="{CF63E7CD-18A2-4918-AE48-6D9DD5DB55B7}"/>
  <tableColumns count="4">
    <tableColumn id="1" xr3:uid="{3FF5C65C-C3A8-4E20-8338-7D6593C60B8B}" name="Date" dataDxfId="1"/>
    <tableColumn id="2" xr3:uid="{E2DBD41B-ADF3-48D8-839D-9E340056EB1F}" name="Grocery Item"/>
    <tableColumn id="3" xr3:uid="{B44331BB-B1C9-4207-A7AB-FBC0EEEB6FFF}" name="Price" dataDxfId="0"/>
    <tableColumn id="4" xr3:uid="{B148DB1D-8B9C-4B87-90B7-22D4576718EB}" name="Stor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E89E-F524-4366-B417-1C841F4683A9}">
  <dimension ref="A1:D781"/>
  <sheetViews>
    <sheetView topLeftCell="A736" workbookViewId="0">
      <selection activeCell="B751" sqref="B751:C751"/>
    </sheetView>
  </sheetViews>
  <sheetFormatPr defaultRowHeight="15" x14ac:dyDescent="0.25"/>
  <cols>
    <col min="1" max="1" width="10.7109375" style="1" bestFit="1" customWidth="1"/>
    <col min="2" max="2" width="36.5703125" bestFit="1" customWidth="1"/>
    <col min="3" max="3" width="9" style="2" customWidth="1"/>
    <col min="4" max="5" width="13.5703125" bestFit="1" customWidth="1"/>
  </cols>
  <sheetData>
    <row r="1" spans="1:4" x14ac:dyDescent="0.25">
      <c r="A1" s="1" t="s">
        <v>0</v>
      </c>
      <c r="B1" t="s">
        <v>1</v>
      </c>
      <c r="C1" s="2" t="s">
        <v>2</v>
      </c>
      <c r="D1" t="s">
        <v>7</v>
      </c>
    </row>
    <row r="2" spans="1:4" x14ac:dyDescent="0.25">
      <c r="A2" s="1">
        <v>45120</v>
      </c>
      <c r="B2" t="s">
        <v>3</v>
      </c>
      <c r="C2" s="2">
        <v>4.3</v>
      </c>
      <c r="D2" t="s">
        <v>8</v>
      </c>
    </row>
    <row r="3" spans="1:4" x14ac:dyDescent="0.25">
      <c r="A3" s="1">
        <v>45120</v>
      </c>
      <c r="B3" t="s">
        <v>4</v>
      </c>
      <c r="C3" s="2">
        <v>5.3</v>
      </c>
      <c r="D3" t="s">
        <v>8</v>
      </c>
    </row>
    <row r="4" spans="1:4" x14ac:dyDescent="0.25">
      <c r="A4" s="1">
        <v>45120</v>
      </c>
      <c r="B4" t="s">
        <v>5</v>
      </c>
      <c r="C4" s="2">
        <v>9.8000000000000007</v>
      </c>
      <c r="D4" t="s">
        <v>8</v>
      </c>
    </row>
    <row r="5" spans="1:4" x14ac:dyDescent="0.25">
      <c r="A5" s="1">
        <v>45120</v>
      </c>
      <c r="B5" t="s">
        <v>6</v>
      </c>
      <c r="C5" s="2">
        <v>10.55</v>
      </c>
      <c r="D5" t="s">
        <v>8</v>
      </c>
    </row>
    <row r="6" spans="1:4" x14ac:dyDescent="0.25">
      <c r="A6" s="1">
        <v>45122</v>
      </c>
      <c r="B6" t="s">
        <v>10</v>
      </c>
      <c r="C6" s="2">
        <v>19.899999999999999</v>
      </c>
      <c r="D6" t="s">
        <v>9</v>
      </c>
    </row>
    <row r="7" spans="1:4" x14ac:dyDescent="0.25">
      <c r="A7" s="1">
        <v>45122</v>
      </c>
      <c r="B7" t="s">
        <v>11</v>
      </c>
      <c r="C7" s="2">
        <v>4.49</v>
      </c>
      <c r="D7" t="s">
        <v>9</v>
      </c>
    </row>
    <row r="8" spans="1:4" x14ac:dyDescent="0.25">
      <c r="A8" s="1">
        <v>45122</v>
      </c>
      <c r="B8" t="s">
        <v>12</v>
      </c>
      <c r="C8" s="2">
        <v>9.9</v>
      </c>
      <c r="D8" t="s">
        <v>9</v>
      </c>
    </row>
    <row r="9" spans="1:4" x14ac:dyDescent="0.25">
      <c r="A9" s="1">
        <v>45122</v>
      </c>
      <c r="B9" t="s">
        <v>13</v>
      </c>
      <c r="C9" s="2">
        <v>7.65</v>
      </c>
      <c r="D9" t="s">
        <v>9</v>
      </c>
    </row>
    <row r="10" spans="1:4" x14ac:dyDescent="0.25">
      <c r="A10" s="1">
        <v>45122</v>
      </c>
      <c r="B10" t="s">
        <v>15</v>
      </c>
      <c r="C10" s="2">
        <v>2.99</v>
      </c>
      <c r="D10" t="s">
        <v>9</v>
      </c>
    </row>
    <row r="11" spans="1:4" x14ac:dyDescent="0.25">
      <c r="A11" s="1">
        <v>45122</v>
      </c>
      <c r="B11" t="s">
        <v>14</v>
      </c>
      <c r="C11" s="2">
        <v>6.29</v>
      </c>
      <c r="D11" t="s">
        <v>9</v>
      </c>
    </row>
    <row r="12" spans="1:4" x14ac:dyDescent="0.25">
      <c r="A12" s="1">
        <v>45128</v>
      </c>
      <c r="B12" t="s">
        <v>87</v>
      </c>
      <c r="C12" s="2">
        <v>3.15</v>
      </c>
      <c r="D12" t="s">
        <v>8</v>
      </c>
    </row>
    <row r="13" spans="1:4" x14ac:dyDescent="0.25">
      <c r="A13" s="1">
        <v>45128</v>
      </c>
      <c r="B13" t="s">
        <v>87</v>
      </c>
      <c r="C13" s="2">
        <v>3.15</v>
      </c>
      <c r="D13" t="s">
        <v>8</v>
      </c>
    </row>
    <row r="14" spans="1:4" x14ac:dyDescent="0.25">
      <c r="A14" s="1">
        <v>45128</v>
      </c>
      <c r="B14" t="s">
        <v>87</v>
      </c>
      <c r="C14" s="2">
        <v>3.15</v>
      </c>
      <c r="D14" t="s">
        <v>8</v>
      </c>
    </row>
    <row r="15" spans="1:4" x14ac:dyDescent="0.25">
      <c r="A15" s="1">
        <v>45128</v>
      </c>
      <c r="B15" t="s">
        <v>87</v>
      </c>
      <c r="C15" s="2">
        <v>3.15</v>
      </c>
      <c r="D15" t="s">
        <v>8</v>
      </c>
    </row>
    <row r="16" spans="1:4" x14ac:dyDescent="0.25">
      <c r="A16" s="1">
        <v>45128</v>
      </c>
      <c r="B16" t="s">
        <v>87</v>
      </c>
      <c r="C16" s="2">
        <v>3.15</v>
      </c>
      <c r="D16" t="s">
        <v>8</v>
      </c>
    </row>
    <row r="17" spans="1:4" x14ac:dyDescent="0.25">
      <c r="A17" s="1">
        <v>45134</v>
      </c>
      <c r="B17" t="s">
        <v>16</v>
      </c>
      <c r="C17" s="2">
        <v>12.85</v>
      </c>
      <c r="D17" t="s">
        <v>8</v>
      </c>
    </row>
    <row r="18" spans="1:4" x14ac:dyDescent="0.25">
      <c r="A18" s="1">
        <v>45140</v>
      </c>
      <c r="B18" t="s">
        <v>17</v>
      </c>
      <c r="C18" s="2">
        <v>11.7</v>
      </c>
      <c r="D18" t="s">
        <v>22</v>
      </c>
    </row>
    <row r="19" spans="1:4" x14ac:dyDescent="0.25">
      <c r="A19" s="1">
        <v>45140</v>
      </c>
      <c r="B19" t="s">
        <v>18</v>
      </c>
      <c r="C19" s="2">
        <v>4.3</v>
      </c>
      <c r="D19" t="s">
        <v>22</v>
      </c>
    </row>
    <row r="20" spans="1:4" x14ac:dyDescent="0.25">
      <c r="A20" s="1">
        <v>45140</v>
      </c>
      <c r="B20" t="s">
        <v>19</v>
      </c>
      <c r="C20" s="2">
        <v>1.8</v>
      </c>
      <c r="D20" t="s">
        <v>20</v>
      </c>
    </row>
    <row r="21" spans="1:4" x14ac:dyDescent="0.25">
      <c r="A21" s="1">
        <v>45140</v>
      </c>
      <c r="B21" t="s">
        <v>21</v>
      </c>
      <c r="C21" s="2">
        <v>12.9</v>
      </c>
      <c r="D21" t="s">
        <v>20</v>
      </c>
    </row>
    <row r="22" spans="1:4" x14ac:dyDescent="0.25">
      <c r="A22" s="1">
        <v>45152</v>
      </c>
      <c r="B22" t="s">
        <v>23</v>
      </c>
      <c r="C22" s="2">
        <v>4.6500000000000004</v>
      </c>
      <c r="D22" t="s">
        <v>8</v>
      </c>
    </row>
    <row r="23" spans="1:4" x14ac:dyDescent="0.25">
      <c r="A23" s="1">
        <v>45152</v>
      </c>
      <c r="B23" t="s">
        <v>4</v>
      </c>
      <c r="C23" s="2">
        <v>5.3</v>
      </c>
      <c r="D23" t="s">
        <v>8</v>
      </c>
    </row>
    <row r="24" spans="1:4" x14ac:dyDescent="0.25">
      <c r="A24" s="1">
        <v>45152</v>
      </c>
      <c r="B24" t="s">
        <v>24</v>
      </c>
      <c r="C24" s="2">
        <v>8.6999999999999993</v>
      </c>
      <c r="D24" t="s">
        <v>8</v>
      </c>
    </row>
    <row r="25" spans="1:4" x14ac:dyDescent="0.25">
      <c r="A25" s="1">
        <v>45158</v>
      </c>
      <c r="B25" t="s">
        <v>25</v>
      </c>
      <c r="C25" s="2">
        <v>19</v>
      </c>
      <c r="D25" t="s">
        <v>8</v>
      </c>
    </row>
    <row r="26" spans="1:4" x14ac:dyDescent="0.25">
      <c r="A26" s="1">
        <v>45158</v>
      </c>
      <c r="B26" t="s">
        <v>26</v>
      </c>
      <c r="C26" s="2">
        <v>6</v>
      </c>
      <c r="D26" t="s">
        <v>8</v>
      </c>
    </row>
    <row r="27" spans="1:4" x14ac:dyDescent="0.25">
      <c r="A27" s="1">
        <v>45158</v>
      </c>
      <c r="B27" t="s">
        <v>26</v>
      </c>
      <c r="C27" s="2">
        <v>5.9</v>
      </c>
      <c r="D27" t="s">
        <v>8</v>
      </c>
    </row>
    <row r="28" spans="1:4" x14ac:dyDescent="0.25">
      <c r="A28" s="1">
        <v>45161</v>
      </c>
      <c r="B28" t="s">
        <v>27</v>
      </c>
      <c r="C28" s="2">
        <v>4.3</v>
      </c>
      <c r="D28" t="s">
        <v>8</v>
      </c>
    </row>
    <row r="29" spans="1:4" x14ac:dyDescent="0.25">
      <c r="A29" s="1">
        <v>45161</v>
      </c>
      <c r="B29" t="s">
        <v>14</v>
      </c>
      <c r="C29" s="2">
        <v>8.5</v>
      </c>
      <c r="D29" t="s">
        <v>8</v>
      </c>
    </row>
    <row r="30" spans="1:4" x14ac:dyDescent="0.25">
      <c r="A30" s="1">
        <v>45161</v>
      </c>
      <c r="B30" t="s">
        <v>28</v>
      </c>
      <c r="C30" s="2">
        <v>6.9</v>
      </c>
      <c r="D30" t="s">
        <v>8</v>
      </c>
    </row>
    <row r="31" spans="1:4" x14ac:dyDescent="0.25">
      <c r="A31" s="1">
        <v>45161</v>
      </c>
      <c r="B31" t="s">
        <v>29</v>
      </c>
      <c r="C31" s="2">
        <v>17.399999999999999</v>
      </c>
      <c r="D31" t="s">
        <v>8</v>
      </c>
    </row>
    <row r="32" spans="1:4" x14ac:dyDescent="0.25">
      <c r="A32" s="1">
        <v>45161</v>
      </c>
      <c r="B32" t="s">
        <v>87</v>
      </c>
      <c r="C32" s="2">
        <v>3.15</v>
      </c>
      <c r="D32" t="s">
        <v>8</v>
      </c>
    </row>
    <row r="33" spans="1:4" x14ac:dyDescent="0.25">
      <c r="A33" s="1">
        <v>45161</v>
      </c>
      <c r="B33" t="s">
        <v>87</v>
      </c>
      <c r="C33" s="2">
        <v>3.15</v>
      </c>
      <c r="D33" t="s">
        <v>8</v>
      </c>
    </row>
    <row r="34" spans="1:4" x14ac:dyDescent="0.25">
      <c r="A34" s="1">
        <v>45161</v>
      </c>
      <c r="B34" t="s">
        <v>87</v>
      </c>
      <c r="C34" s="2">
        <v>3.15</v>
      </c>
      <c r="D34" t="s">
        <v>8</v>
      </c>
    </row>
    <row r="35" spans="1:4" x14ac:dyDescent="0.25">
      <c r="A35" s="1">
        <v>45161</v>
      </c>
      <c r="B35" t="s">
        <v>87</v>
      </c>
      <c r="C35" s="2">
        <v>3.15</v>
      </c>
      <c r="D35" t="s">
        <v>8</v>
      </c>
    </row>
    <row r="36" spans="1:4" x14ac:dyDescent="0.25">
      <c r="A36" s="1">
        <v>45161</v>
      </c>
      <c r="B36" t="s">
        <v>30</v>
      </c>
      <c r="C36" s="2">
        <v>11.2</v>
      </c>
      <c r="D36" t="s">
        <v>8</v>
      </c>
    </row>
    <row r="37" spans="1:4" x14ac:dyDescent="0.25">
      <c r="A37" s="1">
        <v>45179</v>
      </c>
      <c r="B37" t="s">
        <v>31</v>
      </c>
      <c r="C37" s="2">
        <v>12</v>
      </c>
      <c r="D37" t="s">
        <v>22</v>
      </c>
    </row>
    <row r="38" spans="1:4" x14ac:dyDescent="0.25">
      <c r="A38" s="1">
        <v>45190</v>
      </c>
      <c r="B38" t="s">
        <v>32</v>
      </c>
      <c r="C38" s="2">
        <v>15.5</v>
      </c>
      <c r="D38" t="s">
        <v>8</v>
      </c>
    </row>
    <row r="39" spans="1:4" x14ac:dyDescent="0.25">
      <c r="A39" s="1">
        <v>45190</v>
      </c>
      <c r="B39" t="s">
        <v>14</v>
      </c>
      <c r="C39" s="2">
        <v>8.5</v>
      </c>
      <c r="D39" t="s">
        <v>8</v>
      </c>
    </row>
    <row r="40" spans="1:4" x14ac:dyDescent="0.25">
      <c r="A40" s="1">
        <v>45190</v>
      </c>
      <c r="B40" t="s">
        <v>33</v>
      </c>
      <c r="C40" s="2">
        <v>11.25</v>
      </c>
      <c r="D40" t="s">
        <v>8</v>
      </c>
    </row>
    <row r="41" spans="1:4" x14ac:dyDescent="0.25">
      <c r="A41" s="1">
        <v>45190</v>
      </c>
      <c r="B41" t="s">
        <v>34</v>
      </c>
      <c r="C41" s="2">
        <v>4.9000000000000004</v>
      </c>
      <c r="D41" t="s">
        <v>8</v>
      </c>
    </row>
    <row r="42" spans="1:4" x14ac:dyDescent="0.25">
      <c r="A42" s="1">
        <v>45214</v>
      </c>
      <c r="B42" t="s">
        <v>35</v>
      </c>
      <c r="C42" s="2">
        <v>13.9</v>
      </c>
      <c r="D42" t="s">
        <v>22</v>
      </c>
    </row>
    <row r="43" spans="1:4" x14ac:dyDescent="0.25">
      <c r="A43" s="1">
        <v>45214</v>
      </c>
      <c r="B43" t="s">
        <v>36</v>
      </c>
      <c r="C43" s="2">
        <v>13.9</v>
      </c>
      <c r="D43" t="s">
        <v>22</v>
      </c>
    </row>
    <row r="44" spans="1:4" x14ac:dyDescent="0.25">
      <c r="A44" s="1">
        <v>45214</v>
      </c>
      <c r="B44" t="s">
        <v>37</v>
      </c>
      <c r="C44" s="2">
        <v>13.7</v>
      </c>
      <c r="D44" t="s">
        <v>22</v>
      </c>
    </row>
    <row r="45" spans="1:4" x14ac:dyDescent="0.25">
      <c r="A45" s="1">
        <v>45214</v>
      </c>
      <c r="B45" t="s">
        <v>38</v>
      </c>
      <c r="C45" s="2">
        <v>4.3</v>
      </c>
      <c r="D45" t="s">
        <v>22</v>
      </c>
    </row>
    <row r="46" spans="1:4" x14ac:dyDescent="0.25">
      <c r="A46" s="1">
        <v>45214</v>
      </c>
      <c r="B46" t="s">
        <v>39</v>
      </c>
      <c r="C46" s="2">
        <v>9.4</v>
      </c>
      <c r="D46" t="s">
        <v>22</v>
      </c>
    </row>
    <row r="47" spans="1:4" x14ac:dyDescent="0.25">
      <c r="A47" s="1">
        <v>45214</v>
      </c>
      <c r="B47" t="s">
        <v>40</v>
      </c>
      <c r="C47" s="2">
        <v>7.5</v>
      </c>
      <c r="D47" t="s">
        <v>22</v>
      </c>
    </row>
    <row r="48" spans="1:4" x14ac:dyDescent="0.25">
      <c r="A48" s="1">
        <v>45214</v>
      </c>
      <c r="B48" t="s">
        <v>41</v>
      </c>
      <c r="C48" s="2">
        <v>12.2</v>
      </c>
      <c r="D48" t="s">
        <v>22</v>
      </c>
    </row>
    <row r="49" spans="1:4" x14ac:dyDescent="0.25">
      <c r="A49" s="1">
        <v>45214</v>
      </c>
      <c r="B49" t="s">
        <v>42</v>
      </c>
      <c r="C49" s="2">
        <v>8</v>
      </c>
      <c r="D49" t="s">
        <v>22</v>
      </c>
    </row>
    <row r="50" spans="1:4" x14ac:dyDescent="0.25">
      <c r="A50" s="1">
        <v>45233</v>
      </c>
      <c r="B50" t="s">
        <v>43</v>
      </c>
      <c r="C50" s="2">
        <v>16.2</v>
      </c>
      <c r="D50" t="s">
        <v>22</v>
      </c>
    </row>
    <row r="51" spans="1:4" x14ac:dyDescent="0.25">
      <c r="A51" s="1">
        <v>45233</v>
      </c>
      <c r="B51" t="s">
        <v>44</v>
      </c>
      <c r="C51" s="2">
        <v>7.9</v>
      </c>
      <c r="D51" t="s">
        <v>22</v>
      </c>
    </row>
    <row r="52" spans="1:4" x14ac:dyDescent="0.25">
      <c r="A52" s="1">
        <v>45248</v>
      </c>
      <c r="B52" t="s">
        <v>45</v>
      </c>
      <c r="C52" s="2">
        <v>8.4</v>
      </c>
      <c r="D52" t="s">
        <v>22</v>
      </c>
    </row>
    <row r="53" spans="1:4" x14ac:dyDescent="0.25">
      <c r="A53" s="1">
        <v>45248</v>
      </c>
      <c r="B53" t="s">
        <v>46</v>
      </c>
      <c r="C53" s="2">
        <v>5.79</v>
      </c>
      <c r="D53" t="s">
        <v>22</v>
      </c>
    </row>
    <row r="54" spans="1:4" x14ac:dyDescent="0.25">
      <c r="A54" s="1">
        <v>45248</v>
      </c>
      <c r="B54" t="s">
        <v>47</v>
      </c>
      <c r="C54" s="2">
        <v>4.8</v>
      </c>
      <c r="D54" t="s">
        <v>22</v>
      </c>
    </row>
    <row r="55" spans="1:4" x14ac:dyDescent="0.25">
      <c r="A55" s="1">
        <v>45248</v>
      </c>
      <c r="B55" t="s">
        <v>48</v>
      </c>
      <c r="C55" s="2">
        <v>7.9</v>
      </c>
      <c r="D55" t="s">
        <v>22</v>
      </c>
    </row>
    <row r="56" spans="1:4" x14ac:dyDescent="0.25">
      <c r="A56" s="1">
        <v>45253</v>
      </c>
      <c r="B56" t="s">
        <v>44</v>
      </c>
      <c r="C56" s="2">
        <v>7.9</v>
      </c>
      <c r="D56" t="s">
        <v>22</v>
      </c>
    </row>
    <row r="57" spans="1:4" x14ac:dyDescent="0.25">
      <c r="A57" s="1">
        <v>45253</v>
      </c>
      <c r="B57" t="s">
        <v>49</v>
      </c>
      <c r="C57" s="2">
        <v>7.6</v>
      </c>
      <c r="D57" t="s">
        <v>22</v>
      </c>
    </row>
    <row r="58" spans="1:4" x14ac:dyDescent="0.25">
      <c r="A58" s="1">
        <v>45253</v>
      </c>
      <c r="B58" t="s">
        <v>50</v>
      </c>
      <c r="C58" s="2">
        <v>4.3</v>
      </c>
      <c r="D58" t="s">
        <v>22</v>
      </c>
    </row>
    <row r="59" spans="1:4" x14ac:dyDescent="0.25">
      <c r="A59" s="1">
        <v>45269</v>
      </c>
      <c r="B59" t="s">
        <v>45</v>
      </c>
      <c r="C59" s="2">
        <v>8.4</v>
      </c>
      <c r="D59" t="s">
        <v>22</v>
      </c>
    </row>
    <row r="60" spans="1:4" x14ac:dyDescent="0.25">
      <c r="A60" s="1">
        <v>45269</v>
      </c>
      <c r="B60" t="s">
        <v>51</v>
      </c>
      <c r="C60" s="2">
        <v>8.4</v>
      </c>
      <c r="D60" t="s">
        <v>22</v>
      </c>
    </row>
    <row r="61" spans="1:4" x14ac:dyDescent="0.25">
      <c r="A61" s="1">
        <v>45269</v>
      </c>
      <c r="B61" t="s">
        <v>52</v>
      </c>
      <c r="C61" s="2">
        <v>19.899999999999999</v>
      </c>
      <c r="D61" t="s">
        <v>22</v>
      </c>
    </row>
    <row r="62" spans="1:4" x14ac:dyDescent="0.25">
      <c r="A62" s="1">
        <v>45269</v>
      </c>
      <c r="B62" t="s">
        <v>53</v>
      </c>
      <c r="C62" s="2">
        <v>15.9</v>
      </c>
      <c r="D62" t="s">
        <v>22</v>
      </c>
    </row>
    <row r="63" spans="1:4" x14ac:dyDescent="0.25">
      <c r="A63" s="1">
        <v>45269</v>
      </c>
      <c r="B63" t="s">
        <v>54</v>
      </c>
      <c r="C63" s="2">
        <v>5.8</v>
      </c>
      <c r="D63" t="s">
        <v>22</v>
      </c>
    </row>
    <row r="64" spans="1:4" x14ac:dyDescent="0.25">
      <c r="A64" s="1">
        <v>45269</v>
      </c>
      <c r="B64" t="s">
        <v>55</v>
      </c>
      <c r="C64" s="2">
        <v>18.899999999999999</v>
      </c>
      <c r="D64" t="s">
        <v>22</v>
      </c>
    </row>
    <row r="65" spans="1:4" x14ac:dyDescent="0.25">
      <c r="A65" s="1">
        <v>45269</v>
      </c>
      <c r="B65" t="s">
        <v>56</v>
      </c>
      <c r="C65" s="2">
        <v>11.2</v>
      </c>
      <c r="D65" t="s">
        <v>22</v>
      </c>
    </row>
    <row r="66" spans="1:4" x14ac:dyDescent="0.25">
      <c r="A66" s="1">
        <v>45297</v>
      </c>
      <c r="B66" t="s">
        <v>44</v>
      </c>
      <c r="C66" s="2">
        <v>7.9</v>
      </c>
      <c r="D66" t="s">
        <v>22</v>
      </c>
    </row>
    <row r="67" spans="1:4" x14ac:dyDescent="0.25">
      <c r="A67" s="1">
        <v>45297</v>
      </c>
      <c r="B67" t="s">
        <v>57</v>
      </c>
      <c r="C67" s="2">
        <v>24.9</v>
      </c>
      <c r="D67" t="s">
        <v>22</v>
      </c>
    </row>
    <row r="68" spans="1:4" x14ac:dyDescent="0.25">
      <c r="A68" s="1">
        <v>45297</v>
      </c>
      <c r="B68" t="s">
        <v>45</v>
      </c>
      <c r="C68" s="2">
        <v>8.4</v>
      </c>
      <c r="D68" t="s">
        <v>22</v>
      </c>
    </row>
    <row r="69" spans="1:4" x14ac:dyDescent="0.25">
      <c r="A69" s="1">
        <v>45297</v>
      </c>
      <c r="B69" t="s">
        <v>58</v>
      </c>
      <c r="C69" s="2">
        <v>1.4</v>
      </c>
      <c r="D69" t="s">
        <v>22</v>
      </c>
    </row>
    <row r="70" spans="1:4" x14ac:dyDescent="0.25">
      <c r="A70" s="1">
        <v>45297</v>
      </c>
      <c r="B70" t="s">
        <v>59</v>
      </c>
      <c r="C70" s="2">
        <v>0.27</v>
      </c>
      <c r="D70" t="s">
        <v>22</v>
      </c>
    </row>
    <row r="71" spans="1:4" x14ac:dyDescent="0.25">
      <c r="A71" s="1">
        <v>45297</v>
      </c>
      <c r="B71" t="s">
        <v>60</v>
      </c>
      <c r="C71" s="2">
        <v>7.84</v>
      </c>
      <c r="D71" t="s">
        <v>22</v>
      </c>
    </row>
    <row r="72" spans="1:4" x14ac:dyDescent="0.25">
      <c r="A72" s="1">
        <v>45297</v>
      </c>
      <c r="B72" t="s">
        <v>61</v>
      </c>
      <c r="C72" s="2">
        <v>6.3</v>
      </c>
      <c r="D72" t="s">
        <v>22</v>
      </c>
    </row>
    <row r="73" spans="1:4" x14ac:dyDescent="0.25">
      <c r="A73" s="1">
        <v>45305</v>
      </c>
      <c r="B73" t="s">
        <v>62</v>
      </c>
      <c r="C73" s="2">
        <v>5.79</v>
      </c>
      <c r="D73" t="s">
        <v>22</v>
      </c>
    </row>
    <row r="74" spans="1:4" x14ac:dyDescent="0.25">
      <c r="A74" s="1">
        <v>45305</v>
      </c>
      <c r="B74" t="s">
        <v>63</v>
      </c>
      <c r="C74" s="2">
        <v>9.1999999999999993</v>
      </c>
      <c r="D74" t="s">
        <v>22</v>
      </c>
    </row>
    <row r="75" spans="1:4" x14ac:dyDescent="0.25">
      <c r="A75" s="1">
        <v>45305</v>
      </c>
      <c r="B75" t="s">
        <v>64</v>
      </c>
      <c r="C75" s="2">
        <v>8.4</v>
      </c>
      <c r="D75" t="s">
        <v>22</v>
      </c>
    </row>
    <row r="76" spans="1:4" x14ac:dyDescent="0.25">
      <c r="A76" s="1">
        <v>45305</v>
      </c>
      <c r="B76" t="s">
        <v>65</v>
      </c>
      <c r="C76" s="2">
        <v>13.9</v>
      </c>
      <c r="D76" t="s">
        <v>22</v>
      </c>
    </row>
    <row r="77" spans="1:4" x14ac:dyDescent="0.25">
      <c r="A77" s="1">
        <v>45305</v>
      </c>
      <c r="B77" t="s">
        <v>66</v>
      </c>
      <c r="C77" s="2">
        <v>3.25</v>
      </c>
      <c r="D77" t="s">
        <v>22</v>
      </c>
    </row>
    <row r="78" spans="1:4" x14ac:dyDescent="0.25">
      <c r="A78" s="1">
        <v>45305</v>
      </c>
      <c r="B78" t="s">
        <v>67</v>
      </c>
      <c r="C78" s="2">
        <v>2.58</v>
      </c>
      <c r="D78" t="s">
        <v>197</v>
      </c>
    </row>
    <row r="79" spans="1:4" x14ac:dyDescent="0.25">
      <c r="A79" s="1">
        <v>45305</v>
      </c>
      <c r="B79" t="s">
        <v>68</v>
      </c>
      <c r="C79" s="2">
        <v>0.79</v>
      </c>
      <c r="D79" t="s">
        <v>22</v>
      </c>
    </row>
    <row r="80" spans="1:4" x14ac:dyDescent="0.25">
      <c r="A80" s="1">
        <v>45305</v>
      </c>
      <c r="B80" t="s">
        <v>69</v>
      </c>
      <c r="C80" s="2">
        <v>1.24</v>
      </c>
      <c r="D80" t="s">
        <v>22</v>
      </c>
    </row>
    <row r="81" spans="1:4" x14ac:dyDescent="0.25">
      <c r="A81" s="1">
        <v>45305</v>
      </c>
      <c r="B81" t="s">
        <v>70</v>
      </c>
      <c r="C81" s="2">
        <v>4.9000000000000004</v>
      </c>
      <c r="D81" t="s">
        <v>22</v>
      </c>
    </row>
    <row r="82" spans="1:4" x14ac:dyDescent="0.25">
      <c r="A82" s="1">
        <v>45305</v>
      </c>
      <c r="B82" t="s">
        <v>71</v>
      </c>
      <c r="C82" s="2">
        <v>3.15</v>
      </c>
      <c r="D82" t="s">
        <v>22</v>
      </c>
    </row>
    <row r="83" spans="1:4" x14ac:dyDescent="0.25">
      <c r="A83" s="1">
        <v>45305</v>
      </c>
      <c r="B83" t="s">
        <v>71</v>
      </c>
      <c r="C83" s="2">
        <v>3.15</v>
      </c>
      <c r="D83" t="s">
        <v>22</v>
      </c>
    </row>
    <row r="84" spans="1:4" x14ac:dyDescent="0.25">
      <c r="A84" s="1">
        <v>45305</v>
      </c>
      <c r="B84" t="s">
        <v>71</v>
      </c>
      <c r="C84" s="2">
        <v>3.15</v>
      </c>
      <c r="D84" t="s">
        <v>22</v>
      </c>
    </row>
    <row r="85" spans="1:4" x14ac:dyDescent="0.25">
      <c r="A85" s="1">
        <v>45305</v>
      </c>
      <c r="B85" t="s">
        <v>71</v>
      </c>
      <c r="C85" s="2">
        <v>3.15</v>
      </c>
      <c r="D85" t="s">
        <v>22</v>
      </c>
    </row>
    <row r="86" spans="1:4" x14ac:dyDescent="0.25">
      <c r="A86" s="1">
        <v>45305</v>
      </c>
      <c r="B86" t="s">
        <v>72</v>
      </c>
      <c r="C86" s="2">
        <v>7.8</v>
      </c>
      <c r="D86" t="s">
        <v>22</v>
      </c>
    </row>
    <row r="87" spans="1:4" x14ac:dyDescent="0.25">
      <c r="A87" s="1">
        <v>45305</v>
      </c>
      <c r="B87" t="s">
        <v>73</v>
      </c>
      <c r="C87" s="2">
        <v>12</v>
      </c>
      <c r="D87" t="s">
        <v>22</v>
      </c>
    </row>
    <row r="88" spans="1:4" x14ac:dyDescent="0.25">
      <c r="A88" s="1">
        <v>45315</v>
      </c>
      <c r="B88" t="s">
        <v>74</v>
      </c>
      <c r="C88" s="2">
        <v>0.98</v>
      </c>
      <c r="D88" t="s">
        <v>22</v>
      </c>
    </row>
    <row r="89" spans="1:4" x14ac:dyDescent="0.25">
      <c r="A89" s="1">
        <v>45315</v>
      </c>
      <c r="B89" t="s">
        <v>75</v>
      </c>
      <c r="C89" s="2">
        <v>1.48</v>
      </c>
      <c r="D89" t="s">
        <v>22</v>
      </c>
    </row>
    <row r="90" spans="1:4" x14ac:dyDescent="0.25">
      <c r="A90" s="1">
        <v>45315</v>
      </c>
      <c r="B90" t="s">
        <v>76</v>
      </c>
      <c r="C90" s="2">
        <v>0.48</v>
      </c>
      <c r="D90" t="s">
        <v>22</v>
      </c>
    </row>
    <row r="91" spans="1:4" x14ac:dyDescent="0.25">
      <c r="A91" s="1">
        <v>45315</v>
      </c>
      <c r="B91" t="s">
        <v>77</v>
      </c>
      <c r="C91" s="2">
        <v>1.4</v>
      </c>
      <c r="D91" t="s">
        <v>22</v>
      </c>
    </row>
    <row r="92" spans="1:4" x14ac:dyDescent="0.25">
      <c r="A92" s="1">
        <v>45315</v>
      </c>
      <c r="B92" t="s">
        <v>77</v>
      </c>
      <c r="C92" s="2">
        <v>1.4</v>
      </c>
      <c r="D92" t="s">
        <v>22</v>
      </c>
    </row>
    <row r="93" spans="1:4" x14ac:dyDescent="0.25">
      <c r="A93" s="1">
        <v>45315</v>
      </c>
      <c r="B93" t="s">
        <v>78</v>
      </c>
      <c r="C93" s="2">
        <v>3</v>
      </c>
      <c r="D93" t="s">
        <v>22</v>
      </c>
    </row>
    <row r="94" spans="1:4" x14ac:dyDescent="0.25">
      <c r="A94" s="1">
        <v>45315</v>
      </c>
      <c r="B94" t="s">
        <v>79</v>
      </c>
      <c r="C94" s="2">
        <v>6.99</v>
      </c>
      <c r="D94" t="s">
        <v>22</v>
      </c>
    </row>
    <row r="95" spans="1:4" x14ac:dyDescent="0.25">
      <c r="A95" s="1">
        <v>45315</v>
      </c>
      <c r="B95" t="s">
        <v>80</v>
      </c>
      <c r="C95" s="2">
        <v>7.99</v>
      </c>
      <c r="D95" t="s">
        <v>22</v>
      </c>
    </row>
    <row r="96" spans="1:4" x14ac:dyDescent="0.25">
      <c r="A96" s="1">
        <v>45340</v>
      </c>
      <c r="B96" t="s">
        <v>81</v>
      </c>
      <c r="C96" s="2">
        <v>6.25</v>
      </c>
      <c r="D96" t="s">
        <v>8</v>
      </c>
    </row>
    <row r="97" spans="1:4" x14ac:dyDescent="0.25">
      <c r="A97" s="1">
        <v>45340</v>
      </c>
      <c r="B97" t="s">
        <v>87</v>
      </c>
      <c r="C97" s="2">
        <v>3.35</v>
      </c>
      <c r="D97" t="s">
        <v>8</v>
      </c>
    </row>
    <row r="98" spans="1:4" x14ac:dyDescent="0.25">
      <c r="A98" s="1">
        <v>45340</v>
      </c>
      <c r="B98" t="s">
        <v>82</v>
      </c>
      <c r="C98" s="2">
        <v>16.399999999999999</v>
      </c>
      <c r="D98" t="s">
        <v>8</v>
      </c>
    </row>
    <row r="99" spans="1:4" x14ac:dyDescent="0.25">
      <c r="A99" s="1">
        <v>45340</v>
      </c>
      <c r="B99" t="s">
        <v>83</v>
      </c>
      <c r="C99" s="2">
        <v>8.4</v>
      </c>
      <c r="D99" t="s">
        <v>8</v>
      </c>
    </row>
    <row r="100" spans="1:4" x14ac:dyDescent="0.25">
      <c r="A100" s="1">
        <v>45340</v>
      </c>
      <c r="B100" t="s">
        <v>84</v>
      </c>
      <c r="C100" s="2">
        <v>8.4</v>
      </c>
      <c r="D100" t="s">
        <v>8</v>
      </c>
    </row>
    <row r="101" spans="1:4" x14ac:dyDescent="0.25">
      <c r="A101" s="1">
        <v>45340</v>
      </c>
      <c r="B101" t="s">
        <v>85</v>
      </c>
      <c r="C101" s="2">
        <v>7.8</v>
      </c>
      <c r="D101" t="s">
        <v>8</v>
      </c>
    </row>
    <row r="102" spans="1:4" x14ac:dyDescent="0.25">
      <c r="A102" s="1">
        <v>45340</v>
      </c>
      <c r="B102" t="s">
        <v>86</v>
      </c>
      <c r="C102" s="2">
        <v>10.96</v>
      </c>
      <c r="D102" t="s">
        <v>8</v>
      </c>
    </row>
    <row r="103" spans="1:4" x14ac:dyDescent="0.25">
      <c r="A103" s="1">
        <v>45340</v>
      </c>
      <c r="B103" t="s">
        <v>87</v>
      </c>
      <c r="C103" s="2">
        <v>3.35</v>
      </c>
      <c r="D103" t="s">
        <v>8</v>
      </c>
    </row>
    <row r="104" spans="1:4" x14ac:dyDescent="0.25">
      <c r="A104" s="1">
        <v>45340</v>
      </c>
      <c r="B104" t="s">
        <v>87</v>
      </c>
      <c r="C104" s="2">
        <v>3.35</v>
      </c>
      <c r="D104" t="s">
        <v>8</v>
      </c>
    </row>
    <row r="105" spans="1:4" x14ac:dyDescent="0.25">
      <c r="A105" s="1">
        <v>45340</v>
      </c>
      <c r="B105" t="s">
        <v>87</v>
      </c>
      <c r="C105" s="2">
        <v>3.35</v>
      </c>
      <c r="D105" t="s">
        <v>8</v>
      </c>
    </row>
    <row r="106" spans="1:4" x14ac:dyDescent="0.25">
      <c r="A106" s="1">
        <v>45340</v>
      </c>
      <c r="B106" t="s">
        <v>87</v>
      </c>
      <c r="C106" s="2">
        <v>3.35</v>
      </c>
      <c r="D106" t="s">
        <v>8</v>
      </c>
    </row>
    <row r="107" spans="1:4" x14ac:dyDescent="0.25">
      <c r="A107" s="1">
        <v>45344</v>
      </c>
      <c r="B107" t="s">
        <v>44</v>
      </c>
      <c r="C107" s="2">
        <v>7.9</v>
      </c>
      <c r="D107" t="s">
        <v>22</v>
      </c>
    </row>
    <row r="108" spans="1:4" x14ac:dyDescent="0.25">
      <c r="A108" s="1">
        <v>45344</v>
      </c>
      <c r="B108" t="s">
        <v>45</v>
      </c>
      <c r="C108" s="2">
        <v>8.4</v>
      </c>
      <c r="D108" t="s">
        <v>22</v>
      </c>
    </row>
    <row r="109" spans="1:4" x14ac:dyDescent="0.25">
      <c r="A109" s="1">
        <v>45344</v>
      </c>
      <c r="B109" t="s">
        <v>78</v>
      </c>
      <c r="C109" s="2">
        <v>3</v>
      </c>
      <c r="D109" t="s">
        <v>22</v>
      </c>
    </row>
    <row r="110" spans="1:4" x14ac:dyDescent="0.25">
      <c r="A110" s="1">
        <v>45344</v>
      </c>
      <c r="B110" t="s">
        <v>88</v>
      </c>
      <c r="C110" s="2">
        <v>5.3</v>
      </c>
      <c r="D110" t="s">
        <v>22</v>
      </c>
    </row>
    <row r="111" spans="1:4" x14ac:dyDescent="0.25">
      <c r="A111" s="1">
        <v>45344</v>
      </c>
      <c r="B111" t="s">
        <v>89</v>
      </c>
      <c r="C111" s="2">
        <v>0.2</v>
      </c>
      <c r="D111" t="s">
        <v>22</v>
      </c>
    </row>
    <row r="112" spans="1:4" x14ac:dyDescent="0.25">
      <c r="A112" s="1">
        <v>45354</v>
      </c>
      <c r="B112" t="s">
        <v>44</v>
      </c>
      <c r="C112" s="2">
        <v>7.9</v>
      </c>
      <c r="D112" t="s">
        <v>22</v>
      </c>
    </row>
    <row r="113" spans="1:4" x14ac:dyDescent="0.25">
      <c r="A113" s="1">
        <v>45354</v>
      </c>
      <c r="B113" t="s">
        <v>45</v>
      </c>
      <c r="C113" s="2">
        <v>8.4</v>
      </c>
      <c r="D113" t="s">
        <v>22</v>
      </c>
    </row>
    <row r="114" spans="1:4" x14ac:dyDescent="0.25">
      <c r="A114" s="1">
        <v>45354</v>
      </c>
      <c r="B114" t="s">
        <v>90</v>
      </c>
      <c r="C114" s="2">
        <v>8.65</v>
      </c>
      <c r="D114" t="s">
        <v>22</v>
      </c>
    </row>
    <row r="115" spans="1:4" x14ac:dyDescent="0.25">
      <c r="A115" s="1">
        <v>45354</v>
      </c>
      <c r="B115" t="s">
        <v>91</v>
      </c>
      <c r="C115" s="2">
        <v>3.3</v>
      </c>
      <c r="D115" t="s">
        <v>22</v>
      </c>
    </row>
    <row r="116" spans="1:4" x14ac:dyDescent="0.25">
      <c r="A116" s="1">
        <v>45354</v>
      </c>
      <c r="B116" t="s">
        <v>92</v>
      </c>
      <c r="C116" s="2">
        <v>6.9</v>
      </c>
      <c r="D116" t="s">
        <v>22</v>
      </c>
    </row>
    <row r="117" spans="1:4" x14ac:dyDescent="0.25">
      <c r="A117" s="1">
        <v>45354</v>
      </c>
      <c r="B117" t="s">
        <v>93</v>
      </c>
      <c r="C117" s="2">
        <v>1.28</v>
      </c>
      <c r="D117" t="s">
        <v>22</v>
      </c>
    </row>
    <row r="118" spans="1:4" x14ac:dyDescent="0.25">
      <c r="A118" s="1">
        <v>45354</v>
      </c>
      <c r="B118" t="s">
        <v>76</v>
      </c>
      <c r="C118" s="2">
        <v>0.46</v>
      </c>
      <c r="D118" t="s">
        <v>22</v>
      </c>
    </row>
    <row r="119" spans="1:4" x14ac:dyDescent="0.25">
      <c r="A119" s="1">
        <v>45354</v>
      </c>
      <c r="B119" t="s">
        <v>94</v>
      </c>
      <c r="C119" s="2">
        <v>12.4</v>
      </c>
      <c r="D119" t="s">
        <v>22</v>
      </c>
    </row>
    <row r="120" spans="1:4" x14ac:dyDescent="0.25">
      <c r="A120" s="1">
        <v>45354</v>
      </c>
      <c r="B120" t="s">
        <v>95</v>
      </c>
      <c r="C120" s="2">
        <v>4.7</v>
      </c>
      <c r="D120" t="s">
        <v>22</v>
      </c>
    </row>
    <row r="121" spans="1:4" x14ac:dyDescent="0.25">
      <c r="A121" s="1">
        <v>45361</v>
      </c>
      <c r="B121" t="s">
        <v>45</v>
      </c>
      <c r="C121" s="2">
        <v>8.4</v>
      </c>
      <c r="D121" t="s">
        <v>22</v>
      </c>
    </row>
    <row r="122" spans="1:4" x14ac:dyDescent="0.25">
      <c r="A122" s="1">
        <v>45361</v>
      </c>
      <c r="B122" t="s">
        <v>38</v>
      </c>
      <c r="C122" s="2">
        <v>4.3</v>
      </c>
      <c r="D122" t="s">
        <v>22</v>
      </c>
    </row>
    <row r="123" spans="1:4" x14ac:dyDescent="0.25">
      <c r="A123" s="1">
        <v>45368</v>
      </c>
      <c r="B123" t="s">
        <v>96</v>
      </c>
      <c r="C123" s="2">
        <v>8.9499999999999993</v>
      </c>
      <c r="D123" t="s">
        <v>8</v>
      </c>
    </row>
    <row r="124" spans="1:4" x14ac:dyDescent="0.25">
      <c r="A124" s="1">
        <v>45368</v>
      </c>
      <c r="B124" t="s">
        <v>97</v>
      </c>
      <c r="C124" s="2">
        <v>5.89</v>
      </c>
      <c r="D124" t="s">
        <v>8</v>
      </c>
    </row>
    <row r="125" spans="1:4" x14ac:dyDescent="0.25">
      <c r="A125" s="1">
        <v>45368</v>
      </c>
      <c r="B125" t="s">
        <v>98</v>
      </c>
      <c r="C125" s="2">
        <v>12.68</v>
      </c>
      <c r="D125" t="s">
        <v>8</v>
      </c>
    </row>
    <row r="126" spans="1:4" x14ac:dyDescent="0.25">
      <c r="A126" s="1">
        <v>45368</v>
      </c>
      <c r="B126" t="s">
        <v>99</v>
      </c>
      <c r="C126" s="2">
        <v>16.399999999999999</v>
      </c>
      <c r="D126" t="s">
        <v>8</v>
      </c>
    </row>
    <row r="127" spans="1:4" x14ac:dyDescent="0.25">
      <c r="A127" s="1">
        <v>45368</v>
      </c>
      <c r="B127" t="s">
        <v>100</v>
      </c>
      <c r="C127" s="2">
        <v>0.85</v>
      </c>
      <c r="D127" t="s">
        <v>8</v>
      </c>
    </row>
    <row r="128" spans="1:4" x14ac:dyDescent="0.25">
      <c r="A128" s="1">
        <v>45368</v>
      </c>
      <c r="B128" t="s">
        <v>101</v>
      </c>
      <c r="C128" s="2">
        <v>7.85</v>
      </c>
      <c r="D128" t="s">
        <v>8</v>
      </c>
    </row>
    <row r="129" spans="1:4" x14ac:dyDescent="0.25">
      <c r="A129" s="1">
        <v>45368</v>
      </c>
      <c r="B129" t="s">
        <v>102</v>
      </c>
      <c r="C129" s="2">
        <v>9.25</v>
      </c>
      <c r="D129" t="s">
        <v>8</v>
      </c>
    </row>
    <row r="130" spans="1:4" x14ac:dyDescent="0.25">
      <c r="A130" s="1">
        <v>45368</v>
      </c>
      <c r="B130" t="s">
        <v>103</v>
      </c>
      <c r="C130" s="2">
        <v>9.25</v>
      </c>
      <c r="D130" t="s">
        <v>8</v>
      </c>
    </row>
    <row r="131" spans="1:4" x14ac:dyDescent="0.25">
      <c r="A131" s="1">
        <v>45368</v>
      </c>
      <c r="B131" t="s">
        <v>104</v>
      </c>
      <c r="C131" s="2">
        <v>15</v>
      </c>
      <c r="D131" t="s">
        <v>8</v>
      </c>
    </row>
    <row r="132" spans="1:4" x14ac:dyDescent="0.25">
      <c r="A132" s="1">
        <v>45399</v>
      </c>
      <c r="B132" t="s">
        <v>45</v>
      </c>
      <c r="C132" s="2">
        <v>8.4</v>
      </c>
      <c r="D132" t="s">
        <v>22</v>
      </c>
    </row>
    <row r="133" spans="1:4" x14ac:dyDescent="0.25">
      <c r="A133" s="1">
        <v>45399</v>
      </c>
      <c r="B133" t="s">
        <v>105</v>
      </c>
      <c r="C133" s="2">
        <v>4.99</v>
      </c>
      <c r="D133" t="s">
        <v>22</v>
      </c>
    </row>
    <row r="134" spans="1:4" x14ac:dyDescent="0.25">
      <c r="A134" s="1">
        <v>45399</v>
      </c>
      <c r="B134" t="s">
        <v>106</v>
      </c>
      <c r="C134" s="2">
        <v>2.02</v>
      </c>
      <c r="D134" t="s">
        <v>22</v>
      </c>
    </row>
    <row r="135" spans="1:4" x14ac:dyDescent="0.25">
      <c r="A135" s="1">
        <v>45399</v>
      </c>
      <c r="B135" t="s">
        <v>107</v>
      </c>
      <c r="C135" s="2">
        <v>0.35</v>
      </c>
      <c r="D135" t="s">
        <v>22</v>
      </c>
    </row>
    <row r="136" spans="1:4" x14ac:dyDescent="0.25">
      <c r="A136" s="1">
        <v>45399</v>
      </c>
      <c r="B136" t="s">
        <v>108</v>
      </c>
      <c r="C136" s="2">
        <v>0.95</v>
      </c>
      <c r="D136" t="s">
        <v>22</v>
      </c>
    </row>
    <row r="137" spans="1:4" x14ac:dyDescent="0.25">
      <c r="A137" s="1">
        <v>45399</v>
      </c>
      <c r="B137" t="s">
        <v>74</v>
      </c>
      <c r="C137" s="2">
        <v>0.51</v>
      </c>
      <c r="D137" t="s">
        <v>22</v>
      </c>
    </row>
    <row r="138" spans="1:4" x14ac:dyDescent="0.25">
      <c r="A138" s="1">
        <v>45399</v>
      </c>
      <c r="B138" t="s">
        <v>75</v>
      </c>
      <c r="C138" s="2">
        <v>1.83</v>
      </c>
      <c r="D138" t="s">
        <v>22</v>
      </c>
    </row>
    <row r="139" spans="1:4" x14ac:dyDescent="0.25">
      <c r="A139" s="1">
        <v>45399</v>
      </c>
      <c r="B139" t="s">
        <v>109</v>
      </c>
      <c r="C139" s="2">
        <v>2.2999999999999998</v>
      </c>
      <c r="D139" t="s">
        <v>22</v>
      </c>
    </row>
    <row r="140" spans="1:4" x14ac:dyDescent="0.25">
      <c r="A140" s="1">
        <v>45399</v>
      </c>
      <c r="B140" t="s">
        <v>110</v>
      </c>
      <c r="C140" s="2">
        <v>5.9</v>
      </c>
      <c r="D140" t="s">
        <v>22</v>
      </c>
    </row>
    <row r="141" spans="1:4" x14ac:dyDescent="0.25">
      <c r="A141" s="1">
        <v>45399</v>
      </c>
      <c r="B141" t="s">
        <v>111</v>
      </c>
      <c r="C141" s="2">
        <v>1.1000000000000001</v>
      </c>
      <c r="D141" t="s">
        <v>22</v>
      </c>
    </row>
    <row r="142" spans="1:4" x14ac:dyDescent="0.25">
      <c r="A142" s="1">
        <v>45399</v>
      </c>
      <c r="B142" t="s">
        <v>111</v>
      </c>
      <c r="C142" s="2">
        <v>1.1000000000000001</v>
      </c>
      <c r="D142" t="s">
        <v>22</v>
      </c>
    </row>
    <row r="143" spans="1:4" x14ac:dyDescent="0.25">
      <c r="A143" s="1">
        <v>45399</v>
      </c>
      <c r="B143" t="s">
        <v>111</v>
      </c>
      <c r="C143" s="2">
        <v>1.1000000000000001</v>
      </c>
      <c r="D143" t="s">
        <v>22</v>
      </c>
    </row>
    <row r="144" spans="1:4" x14ac:dyDescent="0.25">
      <c r="A144" s="1">
        <v>45399</v>
      </c>
      <c r="B144" t="s">
        <v>112</v>
      </c>
      <c r="C144" s="2">
        <v>8.73</v>
      </c>
      <c r="D144" t="s">
        <v>22</v>
      </c>
    </row>
    <row r="145" spans="1:4" x14ac:dyDescent="0.25">
      <c r="A145" s="1">
        <v>45399</v>
      </c>
      <c r="B145" t="s">
        <v>113</v>
      </c>
      <c r="C145" s="2">
        <v>2.2000000000000002</v>
      </c>
      <c r="D145" t="s">
        <v>22</v>
      </c>
    </row>
    <row r="146" spans="1:4" x14ac:dyDescent="0.25">
      <c r="A146" s="1">
        <v>45399</v>
      </c>
      <c r="B146" t="s">
        <v>113</v>
      </c>
      <c r="C146" s="2">
        <v>2.2000000000000002</v>
      </c>
      <c r="D146" t="s">
        <v>22</v>
      </c>
    </row>
    <row r="147" spans="1:4" x14ac:dyDescent="0.25">
      <c r="A147" s="1">
        <v>45406</v>
      </c>
      <c r="B147" t="s">
        <v>38</v>
      </c>
      <c r="C147" s="2">
        <v>4.3</v>
      </c>
      <c r="D147" t="s">
        <v>22</v>
      </c>
    </row>
    <row r="148" spans="1:4" x14ac:dyDescent="0.25">
      <c r="A148" s="1">
        <v>45406</v>
      </c>
      <c r="B148" t="s">
        <v>75</v>
      </c>
      <c r="C148" s="2">
        <v>2.85</v>
      </c>
      <c r="D148" t="s">
        <v>22</v>
      </c>
    </row>
    <row r="149" spans="1:4" x14ac:dyDescent="0.25">
      <c r="A149" s="1">
        <v>45406</v>
      </c>
      <c r="B149" t="s">
        <v>114</v>
      </c>
      <c r="C149" s="2">
        <v>3.8</v>
      </c>
      <c r="D149" t="s">
        <v>22</v>
      </c>
    </row>
    <row r="150" spans="1:4" x14ac:dyDescent="0.25">
      <c r="A150" s="1">
        <v>45406</v>
      </c>
      <c r="B150" t="s">
        <v>115</v>
      </c>
      <c r="C150" s="2">
        <v>5.0999999999999996</v>
      </c>
      <c r="D150" t="s">
        <v>22</v>
      </c>
    </row>
    <row r="151" spans="1:4" x14ac:dyDescent="0.25">
      <c r="A151" s="1">
        <v>45406</v>
      </c>
      <c r="B151" t="s">
        <v>116</v>
      </c>
      <c r="C151" s="2">
        <v>7.6</v>
      </c>
      <c r="D151" t="s">
        <v>22</v>
      </c>
    </row>
    <row r="152" spans="1:4" x14ac:dyDescent="0.25">
      <c r="A152" s="1">
        <v>45414</v>
      </c>
      <c r="B152" t="s">
        <v>117</v>
      </c>
      <c r="C152" s="2">
        <v>2.0499999999999998</v>
      </c>
      <c r="D152" t="s">
        <v>8</v>
      </c>
    </row>
    <row r="153" spans="1:4" x14ac:dyDescent="0.25">
      <c r="A153" s="1">
        <v>45414</v>
      </c>
      <c r="B153" t="s">
        <v>118</v>
      </c>
      <c r="C153" s="2">
        <v>2.2000000000000002</v>
      </c>
      <c r="D153" t="s">
        <v>8</v>
      </c>
    </row>
    <row r="154" spans="1:4" x14ac:dyDescent="0.25">
      <c r="A154" s="1">
        <v>45414</v>
      </c>
      <c r="B154" t="s">
        <v>119</v>
      </c>
      <c r="C154" s="2">
        <v>1.65</v>
      </c>
      <c r="D154" t="s">
        <v>8</v>
      </c>
    </row>
    <row r="155" spans="1:4" x14ac:dyDescent="0.25">
      <c r="A155" s="1">
        <v>45414</v>
      </c>
      <c r="B155" t="s">
        <v>120</v>
      </c>
      <c r="C155" s="2">
        <v>8.3000000000000007</v>
      </c>
      <c r="D155" t="s">
        <v>8</v>
      </c>
    </row>
    <row r="156" spans="1:4" x14ac:dyDescent="0.25">
      <c r="A156" s="1">
        <v>45428</v>
      </c>
      <c r="B156" t="s">
        <v>38</v>
      </c>
      <c r="C156" s="2">
        <v>4.3</v>
      </c>
      <c r="D156" t="s">
        <v>22</v>
      </c>
    </row>
    <row r="157" spans="1:4" x14ac:dyDescent="0.25">
      <c r="A157" s="1">
        <v>45428</v>
      </c>
      <c r="B157" t="s">
        <v>44</v>
      </c>
      <c r="C157" s="2">
        <v>4.3</v>
      </c>
      <c r="D157" t="s">
        <v>22</v>
      </c>
    </row>
    <row r="158" spans="1:4" x14ac:dyDescent="0.25">
      <c r="A158" s="1">
        <v>45428</v>
      </c>
      <c r="B158" t="s">
        <v>45</v>
      </c>
      <c r="C158" s="2">
        <v>8.4</v>
      </c>
      <c r="D158" t="s">
        <v>22</v>
      </c>
    </row>
    <row r="159" spans="1:4" x14ac:dyDescent="0.25">
      <c r="A159" s="1">
        <v>45428</v>
      </c>
      <c r="B159" t="s">
        <v>116</v>
      </c>
      <c r="C159" s="2">
        <v>7.6</v>
      </c>
      <c r="D159" t="s">
        <v>22</v>
      </c>
    </row>
    <row r="160" spans="1:4" x14ac:dyDescent="0.25">
      <c r="A160" s="1">
        <v>45428</v>
      </c>
      <c r="B160" t="s">
        <v>121</v>
      </c>
      <c r="C160" s="2">
        <v>7.7</v>
      </c>
      <c r="D160" t="s">
        <v>22</v>
      </c>
    </row>
    <row r="161" spans="1:4" x14ac:dyDescent="0.25">
      <c r="A161" s="1">
        <v>45434</v>
      </c>
      <c r="B161" t="s">
        <v>122</v>
      </c>
      <c r="C161" s="2">
        <v>1.9</v>
      </c>
      <c r="D161" t="s">
        <v>22</v>
      </c>
    </row>
    <row r="162" spans="1:4" x14ac:dyDescent="0.25">
      <c r="A162" s="1">
        <v>45434</v>
      </c>
      <c r="B162" t="s">
        <v>123</v>
      </c>
      <c r="C162" s="2">
        <v>4.5999999999999996</v>
      </c>
      <c r="D162" t="s">
        <v>22</v>
      </c>
    </row>
    <row r="163" spans="1:4" x14ac:dyDescent="0.25">
      <c r="A163" s="1">
        <v>45434</v>
      </c>
      <c r="B163" t="s">
        <v>106</v>
      </c>
      <c r="C163" s="2">
        <v>2.96</v>
      </c>
      <c r="D163" t="s">
        <v>22</v>
      </c>
    </row>
    <row r="164" spans="1:4" x14ac:dyDescent="0.25">
      <c r="A164" s="1">
        <v>45434</v>
      </c>
      <c r="B164" t="s">
        <v>124</v>
      </c>
      <c r="C164" s="2">
        <v>2.2000000000000002</v>
      </c>
      <c r="D164" t="s">
        <v>22</v>
      </c>
    </row>
    <row r="165" spans="1:4" x14ac:dyDescent="0.25">
      <c r="A165" s="1">
        <v>45434</v>
      </c>
      <c r="B165" t="s">
        <v>125</v>
      </c>
      <c r="C165" s="2">
        <v>2.2000000000000002</v>
      </c>
      <c r="D165" t="s">
        <v>22</v>
      </c>
    </row>
    <row r="166" spans="1:4" x14ac:dyDescent="0.25">
      <c r="A166" s="1">
        <v>45434</v>
      </c>
      <c r="B166" t="s">
        <v>126</v>
      </c>
      <c r="C166" s="2">
        <v>1.9</v>
      </c>
      <c r="D166" t="s">
        <v>22</v>
      </c>
    </row>
    <row r="167" spans="1:4" x14ac:dyDescent="0.25">
      <c r="A167" s="1">
        <v>45434</v>
      </c>
      <c r="B167" t="s">
        <v>45</v>
      </c>
      <c r="C167" s="2">
        <v>8.4</v>
      </c>
      <c r="D167" t="s">
        <v>22</v>
      </c>
    </row>
    <row r="168" spans="1:4" x14ac:dyDescent="0.25">
      <c r="A168" s="1">
        <v>45438</v>
      </c>
      <c r="B168" t="s">
        <v>127</v>
      </c>
      <c r="C168" s="2">
        <v>3.55</v>
      </c>
      <c r="D168" t="s">
        <v>128</v>
      </c>
    </row>
    <row r="169" spans="1:4" x14ac:dyDescent="0.25">
      <c r="A169" s="1">
        <v>45438</v>
      </c>
      <c r="B169" t="s">
        <v>129</v>
      </c>
      <c r="C169" s="2">
        <v>3.5</v>
      </c>
      <c r="D169" t="s">
        <v>128</v>
      </c>
    </row>
    <row r="170" spans="1:4" x14ac:dyDescent="0.25">
      <c r="A170" s="1">
        <v>45438</v>
      </c>
      <c r="B170" t="s">
        <v>130</v>
      </c>
      <c r="C170" s="2">
        <v>6.7</v>
      </c>
      <c r="D170" t="s">
        <v>22</v>
      </c>
    </row>
    <row r="171" spans="1:4" x14ac:dyDescent="0.25">
      <c r="A171" s="1">
        <v>45438</v>
      </c>
      <c r="B171" t="s">
        <v>131</v>
      </c>
      <c r="C171" s="2">
        <v>1.71</v>
      </c>
      <c r="D171" t="s">
        <v>22</v>
      </c>
    </row>
    <row r="172" spans="1:4" x14ac:dyDescent="0.25">
      <c r="A172" s="1">
        <v>45438</v>
      </c>
      <c r="B172" t="s">
        <v>132</v>
      </c>
      <c r="C172" s="2">
        <v>0.87</v>
      </c>
      <c r="D172" t="s">
        <v>22</v>
      </c>
    </row>
    <row r="173" spans="1:4" x14ac:dyDescent="0.25">
      <c r="A173" s="1">
        <v>45438</v>
      </c>
      <c r="B173" t="s">
        <v>133</v>
      </c>
      <c r="C173" s="2">
        <v>9</v>
      </c>
      <c r="D173" t="s">
        <v>22</v>
      </c>
    </row>
    <row r="174" spans="1:4" x14ac:dyDescent="0.25">
      <c r="A174" s="1">
        <v>45442</v>
      </c>
      <c r="B174" t="s">
        <v>62</v>
      </c>
      <c r="C174" s="2">
        <v>5.7</v>
      </c>
      <c r="D174" t="s">
        <v>22</v>
      </c>
    </row>
    <row r="175" spans="1:4" x14ac:dyDescent="0.25">
      <c r="A175" s="1">
        <v>45442</v>
      </c>
      <c r="B175" t="s">
        <v>134</v>
      </c>
      <c r="C175" s="2">
        <v>4.25</v>
      </c>
      <c r="D175" t="s">
        <v>22</v>
      </c>
    </row>
    <row r="176" spans="1:4" x14ac:dyDescent="0.25">
      <c r="A176" s="1">
        <v>45442</v>
      </c>
      <c r="B176" t="s">
        <v>135</v>
      </c>
      <c r="C176" s="2">
        <v>6.8</v>
      </c>
      <c r="D176" t="s">
        <v>22</v>
      </c>
    </row>
    <row r="177" spans="1:4" x14ac:dyDescent="0.25">
      <c r="A177" s="1">
        <v>45442</v>
      </c>
      <c r="B177" t="s">
        <v>124</v>
      </c>
      <c r="C177" s="2">
        <v>2.2000000000000002</v>
      </c>
      <c r="D177" t="s">
        <v>22</v>
      </c>
    </row>
    <row r="178" spans="1:4" x14ac:dyDescent="0.25">
      <c r="A178" s="1">
        <v>45442</v>
      </c>
      <c r="B178" t="s">
        <v>136</v>
      </c>
      <c r="C178" s="2">
        <v>16.7</v>
      </c>
      <c r="D178" t="s">
        <v>22</v>
      </c>
    </row>
    <row r="179" spans="1:4" x14ac:dyDescent="0.25">
      <c r="A179" s="1">
        <v>45442</v>
      </c>
      <c r="B179" t="s">
        <v>40</v>
      </c>
      <c r="C179" s="2">
        <v>7.5</v>
      </c>
      <c r="D179" t="s">
        <v>22</v>
      </c>
    </row>
    <row r="180" spans="1:4" x14ac:dyDescent="0.25">
      <c r="A180" s="1">
        <v>45442</v>
      </c>
      <c r="B180" t="s">
        <v>44</v>
      </c>
      <c r="C180" s="2">
        <v>8.9</v>
      </c>
      <c r="D180" t="s">
        <v>22</v>
      </c>
    </row>
    <row r="181" spans="1:4" x14ac:dyDescent="0.25">
      <c r="A181" s="1">
        <v>45446</v>
      </c>
      <c r="B181" t="s">
        <v>122</v>
      </c>
      <c r="C181" s="2">
        <v>1.9</v>
      </c>
      <c r="D181" t="s">
        <v>22</v>
      </c>
    </row>
    <row r="182" spans="1:4" x14ac:dyDescent="0.25">
      <c r="A182" s="1">
        <v>45446</v>
      </c>
      <c r="B182" t="s">
        <v>137</v>
      </c>
      <c r="C182" s="2">
        <v>3.4</v>
      </c>
      <c r="D182" t="s">
        <v>22</v>
      </c>
    </row>
    <row r="183" spans="1:4" x14ac:dyDescent="0.25">
      <c r="A183" s="1">
        <v>45446</v>
      </c>
      <c r="B183" t="s">
        <v>138</v>
      </c>
      <c r="C183" s="2">
        <v>0.83</v>
      </c>
      <c r="D183" t="s">
        <v>22</v>
      </c>
    </row>
    <row r="184" spans="1:4" x14ac:dyDescent="0.25">
      <c r="A184" s="1">
        <v>45446</v>
      </c>
      <c r="B184" t="s">
        <v>139</v>
      </c>
      <c r="C184" s="2">
        <v>0.87</v>
      </c>
      <c r="D184" t="s">
        <v>22</v>
      </c>
    </row>
    <row r="185" spans="1:4" x14ac:dyDescent="0.25">
      <c r="A185" s="1">
        <v>45447</v>
      </c>
      <c r="B185" t="s">
        <v>140</v>
      </c>
      <c r="C185" s="2">
        <v>0.31</v>
      </c>
      <c r="D185" t="s">
        <v>22</v>
      </c>
    </row>
    <row r="186" spans="1:4" x14ac:dyDescent="0.25">
      <c r="A186" s="1">
        <v>45447</v>
      </c>
      <c r="B186" t="s">
        <v>116</v>
      </c>
      <c r="C186" s="2">
        <v>7.6</v>
      </c>
      <c r="D186" t="s">
        <v>22</v>
      </c>
    </row>
    <row r="187" spans="1:4" x14ac:dyDescent="0.25">
      <c r="A187" s="1">
        <v>45452</v>
      </c>
      <c r="B187" t="s">
        <v>108</v>
      </c>
      <c r="C187" s="2">
        <v>0.51</v>
      </c>
      <c r="D187" t="s">
        <v>22</v>
      </c>
    </row>
    <row r="188" spans="1:4" x14ac:dyDescent="0.25">
      <c r="A188" s="1">
        <v>45452</v>
      </c>
      <c r="B188" t="s">
        <v>141</v>
      </c>
      <c r="C188" s="2">
        <v>1.2</v>
      </c>
      <c r="D188" t="s">
        <v>22</v>
      </c>
    </row>
    <row r="189" spans="1:4" x14ac:dyDescent="0.25">
      <c r="A189" s="1">
        <v>45452</v>
      </c>
      <c r="B189" t="s">
        <v>142</v>
      </c>
      <c r="C189" s="2">
        <v>12.9</v>
      </c>
      <c r="D189" t="s">
        <v>22</v>
      </c>
    </row>
    <row r="190" spans="1:4" x14ac:dyDescent="0.25">
      <c r="A190" s="1">
        <v>45452</v>
      </c>
      <c r="B190" t="s">
        <v>77</v>
      </c>
      <c r="C190" s="2">
        <v>1.55</v>
      </c>
      <c r="D190" t="s">
        <v>22</v>
      </c>
    </row>
    <row r="191" spans="1:4" x14ac:dyDescent="0.25">
      <c r="A191" s="1">
        <v>45452</v>
      </c>
      <c r="B191" t="s">
        <v>143</v>
      </c>
      <c r="C191" s="2">
        <v>7.7</v>
      </c>
      <c r="D191" t="s">
        <v>22</v>
      </c>
    </row>
    <row r="192" spans="1:4" x14ac:dyDescent="0.25">
      <c r="A192" s="1">
        <v>45452</v>
      </c>
      <c r="B192" t="s">
        <v>144</v>
      </c>
      <c r="C192" s="2">
        <v>8.9</v>
      </c>
      <c r="D192" t="s">
        <v>22</v>
      </c>
    </row>
    <row r="193" spans="1:4" x14ac:dyDescent="0.25">
      <c r="A193" s="1">
        <v>45452</v>
      </c>
      <c r="B193" t="s">
        <v>140</v>
      </c>
      <c r="C193" s="2">
        <v>0.33</v>
      </c>
      <c r="D193" t="s">
        <v>22</v>
      </c>
    </row>
    <row r="194" spans="1:4" x14ac:dyDescent="0.25">
      <c r="A194" s="1">
        <v>45452</v>
      </c>
      <c r="B194" t="s">
        <v>68</v>
      </c>
      <c r="C194" s="2">
        <v>3.4</v>
      </c>
      <c r="D194" t="s">
        <v>22</v>
      </c>
    </row>
    <row r="195" spans="1:4" x14ac:dyDescent="0.25">
      <c r="A195" s="1">
        <v>45459</v>
      </c>
      <c r="B195" t="s">
        <v>145</v>
      </c>
      <c r="C195" s="2">
        <v>18.850000000000001</v>
      </c>
      <c r="D195" t="s">
        <v>22</v>
      </c>
    </row>
    <row r="196" spans="1:4" x14ac:dyDescent="0.25">
      <c r="A196" s="1">
        <v>45459</v>
      </c>
      <c r="B196" t="s">
        <v>146</v>
      </c>
      <c r="C196" s="2">
        <v>12.7</v>
      </c>
      <c r="D196" t="s">
        <v>22</v>
      </c>
    </row>
    <row r="197" spans="1:4" x14ac:dyDescent="0.25">
      <c r="A197" s="1">
        <v>45459</v>
      </c>
      <c r="B197" t="s">
        <v>109</v>
      </c>
      <c r="C197" s="2">
        <v>2.2999999999999998</v>
      </c>
      <c r="D197" t="s">
        <v>22</v>
      </c>
    </row>
    <row r="198" spans="1:4" x14ac:dyDescent="0.25">
      <c r="A198" s="1">
        <v>45459</v>
      </c>
      <c r="B198" t="s">
        <v>147</v>
      </c>
      <c r="C198" s="2">
        <v>2.21</v>
      </c>
      <c r="D198" t="s">
        <v>22</v>
      </c>
    </row>
    <row r="199" spans="1:4" x14ac:dyDescent="0.25">
      <c r="A199" s="1">
        <v>45459</v>
      </c>
      <c r="B199" t="s">
        <v>148</v>
      </c>
      <c r="C199" s="2">
        <v>8.4</v>
      </c>
      <c r="D199" t="s">
        <v>22</v>
      </c>
    </row>
    <row r="200" spans="1:4" x14ac:dyDescent="0.25">
      <c r="A200" s="1">
        <v>45459</v>
      </c>
      <c r="B200" t="s">
        <v>149</v>
      </c>
      <c r="C200" s="2">
        <v>8.5399999999999991</v>
      </c>
      <c r="D200" t="s">
        <v>22</v>
      </c>
    </row>
    <row r="201" spans="1:4" x14ac:dyDescent="0.25">
      <c r="A201" s="1">
        <v>45459</v>
      </c>
      <c r="B201" t="s">
        <v>131</v>
      </c>
      <c r="C201" s="2">
        <v>5.82</v>
      </c>
      <c r="D201" t="s">
        <v>22</v>
      </c>
    </row>
    <row r="202" spans="1:4" x14ac:dyDescent="0.25">
      <c r="A202" s="1">
        <v>45459</v>
      </c>
      <c r="B202" t="s">
        <v>150</v>
      </c>
      <c r="C202" s="2">
        <v>1.7</v>
      </c>
      <c r="D202" t="s">
        <v>22</v>
      </c>
    </row>
    <row r="203" spans="1:4" x14ac:dyDescent="0.25">
      <c r="A203" s="1">
        <v>45459</v>
      </c>
      <c r="B203" t="s">
        <v>151</v>
      </c>
      <c r="C203" s="2">
        <v>2.4500000000000002</v>
      </c>
      <c r="D203" t="s">
        <v>22</v>
      </c>
    </row>
    <row r="204" spans="1:4" x14ac:dyDescent="0.25">
      <c r="A204" s="1">
        <v>45459</v>
      </c>
      <c r="B204" t="s">
        <v>152</v>
      </c>
      <c r="C204" s="2">
        <v>3.7</v>
      </c>
      <c r="D204" t="s">
        <v>22</v>
      </c>
    </row>
    <row r="205" spans="1:4" x14ac:dyDescent="0.25">
      <c r="A205" s="1">
        <v>45459</v>
      </c>
      <c r="B205" t="s">
        <v>153</v>
      </c>
      <c r="C205" s="2">
        <v>8.4</v>
      </c>
      <c r="D205" t="s">
        <v>22</v>
      </c>
    </row>
    <row r="206" spans="1:4" x14ac:dyDescent="0.25">
      <c r="A206" s="1">
        <v>45459</v>
      </c>
      <c r="B206" t="s">
        <v>154</v>
      </c>
      <c r="C206" s="2">
        <v>9.5299999999999994</v>
      </c>
      <c r="D206" t="s">
        <v>22</v>
      </c>
    </row>
    <row r="207" spans="1:4" x14ac:dyDescent="0.25">
      <c r="A207" s="1">
        <v>45459</v>
      </c>
      <c r="B207" t="s">
        <v>122</v>
      </c>
      <c r="C207" s="2">
        <v>1.9</v>
      </c>
      <c r="D207" t="s">
        <v>22</v>
      </c>
    </row>
    <row r="208" spans="1:4" x14ac:dyDescent="0.25">
      <c r="A208" s="1">
        <v>45459</v>
      </c>
      <c r="B208" t="s">
        <v>155</v>
      </c>
      <c r="C208" s="2">
        <v>4.8</v>
      </c>
      <c r="D208" t="s">
        <v>22</v>
      </c>
    </row>
    <row r="209" spans="1:4" x14ac:dyDescent="0.25">
      <c r="A209" s="1">
        <v>45459</v>
      </c>
      <c r="B209" t="s">
        <v>156</v>
      </c>
      <c r="C209" s="2">
        <v>9.3000000000000007</v>
      </c>
      <c r="D209" t="s">
        <v>22</v>
      </c>
    </row>
    <row r="210" spans="1:4" x14ac:dyDescent="0.25">
      <c r="A210" s="1">
        <v>45459</v>
      </c>
      <c r="B210" t="s">
        <v>157</v>
      </c>
      <c r="C210" s="2">
        <v>4.67</v>
      </c>
      <c r="D210" t="s">
        <v>22</v>
      </c>
    </row>
    <row r="211" spans="1:4" x14ac:dyDescent="0.25">
      <c r="A211" s="1">
        <v>45459</v>
      </c>
      <c r="B211" t="s">
        <v>158</v>
      </c>
      <c r="C211" s="2">
        <v>9.8000000000000007</v>
      </c>
      <c r="D211" t="s">
        <v>22</v>
      </c>
    </row>
    <row r="212" spans="1:4" x14ac:dyDescent="0.25">
      <c r="A212" s="1">
        <v>45466</v>
      </c>
      <c r="B212" t="s">
        <v>71</v>
      </c>
      <c r="C212" s="2">
        <v>3.3</v>
      </c>
      <c r="D212" t="s">
        <v>22</v>
      </c>
    </row>
    <row r="213" spans="1:4" x14ac:dyDescent="0.25">
      <c r="A213" s="1">
        <v>45466</v>
      </c>
      <c r="B213" t="s">
        <v>134</v>
      </c>
      <c r="C213" s="2">
        <v>4.2</v>
      </c>
      <c r="D213" t="s">
        <v>22</v>
      </c>
    </row>
    <row r="214" spans="1:4" x14ac:dyDescent="0.25">
      <c r="A214" s="1">
        <v>45466</v>
      </c>
      <c r="B214" t="s">
        <v>71</v>
      </c>
      <c r="C214" s="2">
        <v>3.3</v>
      </c>
      <c r="D214" t="s">
        <v>22</v>
      </c>
    </row>
    <row r="215" spans="1:4" x14ac:dyDescent="0.25">
      <c r="A215" s="1">
        <v>45466</v>
      </c>
      <c r="B215" t="s">
        <v>71</v>
      </c>
      <c r="C215" s="2">
        <v>3.3</v>
      </c>
      <c r="D215" t="s">
        <v>22</v>
      </c>
    </row>
    <row r="216" spans="1:4" x14ac:dyDescent="0.25">
      <c r="A216" s="1">
        <v>45466</v>
      </c>
      <c r="B216" t="s">
        <v>48</v>
      </c>
      <c r="C216" s="2">
        <v>7.9</v>
      </c>
      <c r="D216" t="s">
        <v>22</v>
      </c>
    </row>
    <row r="217" spans="1:4" x14ac:dyDescent="0.25">
      <c r="A217" s="1">
        <v>45466</v>
      </c>
      <c r="B217" t="s">
        <v>71</v>
      </c>
      <c r="C217" s="2">
        <v>3.3</v>
      </c>
      <c r="D217" t="s">
        <v>22</v>
      </c>
    </row>
    <row r="218" spans="1:4" x14ac:dyDescent="0.25">
      <c r="A218" s="1">
        <v>45466</v>
      </c>
      <c r="B218" t="s">
        <v>144</v>
      </c>
      <c r="C218" s="2">
        <v>8.9</v>
      </c>
      <c r="D218" t="s">
        <v>22</v>
      </c>
    </row>
    <row r="219" spans="1:4" x14ac:dyDescent="0.25">
      <c r="A219" s="1">
        <v>45466</v>
      </c>
      <c r="B219" t="s">
        <v>162</v>
      </c>
      <c r="C219" s="2">
        <v>5.3</v>
      </c>
      <c r="D219" t="s">
        <v>22</v>
      </c>
    </row>
    <row r="220" spans="1:4" x14ac:dyDescent="0.25">
      <c r="A220" s="1">
        <v>45466</v>
      </c>
      <c r="B220" t="s">
        <v>135</v>
      </c>
      <c r="C220" s="2">
        <v>6.8</v>
      </c>
      <c r="D220" t="s">
        <v>22</v>
      </c>
    </row>
    <row r="221" spans="1:4" x14ac:dyDescent="0.25">
      <c r="A221" s="1">
        <v>45466</v>
      </c>
      <c r="B221" t="s">
        <v>163</v>
      </c>
      <c r="C221" s="2">
        <v>2.9</v>
      </c>
      <c r="D221" t="s">
        <v>22</v>
      </c>
    </row>
    <row r="222" spans="1:4" x14ac:dyDescent="0.25">
      <c r="A222" s="1">
        <v>45466</v>
      </c>
      <c r="B222" t="s">
        <v>164</v>
      </c>
      <c r="C222" s="2">
        <v>3.8</v>
      </c>
      <c r="D222" t="s">
        <v>22</v>
      </c>
    </row>
    <row r="223" spans="1:4" x14ac:dyDescent="0.25">
      <c r="A223" s="1">
        <v>45466</v>
      </c>
      <c r="B223" t="s">
        <v>165</v>
      </c>
      <c r="C223" s="2">
        <v>7.7</v>
      </c>
      <c r="D223" t="s">
        <v>22</v>
      </c>
    </row>
    <row r="224" spans="1:4" x14ac:dyDescent="0.25">
      <c r="A224" s="1">
        <v>45466</v>
      </c>
      <c r="B224" t="s">
        <v>124</v>
      </c>
      <c r="C224" s="2">
        <v>2.2000000000000002</v>
      </c>
      <c r="D224" t="s">
        <v>22</v>
      </c>
    </row>
    <row r="225" spans="1:4" x14ac:dyDescent="0.25">
      <c r="A225" s="1">
        <v>45473</v>
      </c>
      <c r="B225" t="s">
        <v>159</v>
      </c>
      <c r="C225" s="2">
        <v>0.16</v>
      </c>
      <c r="D225" t="s">
        <v>22</v>
      </c>
    </row>
    <row r="226" spans="1:4" x14ac:dyDescent="0.25">
      <c r="A226" s="1">
        <v>45473</v>
      </c>
      <c r="B226" t="s">
        <v>160</v>
      </c>
      <c r="C226" s="2">
        <v>2.65</v>
      </c>
      <c r="D226" t="s">
        <v>22</v>
      </c>
    </row>
    <row r="227" spans="1:4" x14ac:dyDescent="0.25">
      <c r="A227" s="1">
        <v>45473</v>
      </c>
      <c r="B227" t="s">
        <v>161</v>
      </c>
      <c r="C227" s="2">
        <v>0.85</v>
      </c>
      <c r="D227" t="s">
        <v>22</v>
      </c>
    </row>
    <row r="228" spans="1:4" x14ac:dyDescent="0.25">
      <c r="A228" s="1">
        <v>45480</v>
      </c>
      <c r="B228" t="s">
        <v>144</v>
      </c>
      <c r="C228" s="2">
        <v>8.9</v>
      </c>
      <c r="D228" t="s">
        <v>22</v>
      </c>
    </row>
    <row r="229" spans="1:4" x14ac:dyDescent="0.25">
      <c r="A229" s="1">
        <v>45480</v>
      </c>
      <c r="B229" t="s">
        <v>166</v>
      </c>
      <c r="C229" s="2">
        <v>6.3</v>
      </c>
      <c r="D229" t="s">
        <v>22</v>
      </c>
    </row>
    <row r="230" spans="1:4" x14ac:dyDescent="0.25">
      <c r="A230" s="1">
        <v>45480</v>
      </c>
      <c r="B230" t="s">
        <v>167</v>
      </c>
      <c r="C230" s="2">
        <v>4.3</v>
      </c>
      <c r="D230" t="s">
        <v>22</v>
      </c>
    </row>
    <row r="231" spans="1:4" x14ac:dyDescent="0.25">
      <c r="A231" s="1">
        <v>45480</v>
      </c>
      <c r="B231" t="s">
        <v>168</v>
      </c>
      <c r="C231" s="2">
        <v>5.49</v>
      </c>
      <c r="D231" t="s">
        <v>22</v>
      </c>
    </row>
    <row r="232" spans="1:4" x14ac:dyDescent="0.25">
      <c r="A232" s="1">
        <v>45480</v>
      </c>
      <c r="B232" t="s">
        <v>169</v>
      </c>
      <c r="C232" s="2">
        <v>3.6</v>
      </c>
      <c r="D232" t="s">
        <v>22</v>
      </c>
    </row>
    <row r="233" spans="1:4" x14ac:dyDescent="0.25">
      <c r="A233" s="1">
        <v>45480</v>
      </c>
      <c r="B233" t="s">
        <v>122</v>
      </c>
      <c r="C233" s="2">
        <v>1.9</v>
      </c>
      <c r="D233" t="s">
        <v>22</v>
      </c>
    </row>
    <row r="234" spans="1:4" x14ac:dyDescent="0.25">
      <c r="A234" s="1">
        <v>45480</v>
      </c>
      <c r="B234" t="s">
        <v>170</v>
      </c>
      <c r="C234" s="2">
        <v>3</v>
      </c>
      <c r="D234" t="s">
        <v>22</v>
      </c>
    </row>
    <row r="235" spans="1:4" x14ac:dyDescent="0.25">
      <c r="A235" s="1">
        <v>45480</v>
      </c>
      <c r="B235" t="s">
        <v>171</v>
      </c>
      <c r="C235" s="2">
        <v>3.6</v>
      </c>
      <c r="D235" t="s">
        <v>22</v>
      </c>
    </row>
    <row r="236" spans="1:4" x14ac:dyDescent="0.25">
      <c r="A236" s="1">
        <v>45480</v>
      </c>
      <c r="B236" t="s">
        <v>172</v>
      </c>
      <c r="C236" s="2">
        <v>3.25</v>
      </c>
      <c r="D236" t="s">
        <v>22</v>
      </c>
    </row>
    <row r="237" spans="1:4" x14ac:dyDescent="0.25">
      <c r="A237" s="1">
        <v>45480</v>
      </c>
      <c r="B237" t="s">
        <v>173</v>
      </c>
      <c r="C237" s="2">
        <v>4.95</v>
      </c>
      <c r="D237" t="s">
        <v>22</v>
      </c>
    </row>
    <row r="238" spans="1:4" x14ac:dyDescent="0.25">
      <c r="A238" s="1">
        <v>45480</v>
      </c>
      <c r="B238" t="s">
        <v>174</v>
      </c>
      <c r="C238" s="2">
        <v>6.6</v>
      </c>
      <c r="D238" t="s">
        <v>22</v>
      </c>
    </row>
    <row r="239" spans="1:4" x14ac:dyDescent="0.25">
      <c r="A239" s="1">
        <v>45487</v>
      </c>
      <c r="B239" t="s">
        <v>175</v>
      </c>
      <c r="C239" s="2">
        <v>6.5</v>
      </c>
      <c r="D239" t="s">
        <v>22</v>
      </c>
    </row>
    <row r="240" spans="1:4" x14ac:dyDescent="0.25">
      <c r="A240" s="1">
        <v>45487</v>
      </c>
      <c r="B240" t="s">
        <v>176</v>
      </c>
      <c r="C240" s="2">
        <v>7.3</v>
      </c>
      <c r="D240" t="s">
        <v>22</v>
      </c>
    </row>
    <row r="241" spans="1:4" x14ac:dyDescent="0.25">
      <c r="A241" s="1">
        <v>45487</v>
      </c>
      <c r="B241" t="s">
        <v>177</v>
      </c>
      <c r="C241" s="2">
        <v>2.2999999999999998</v>
      </c>
      <c r="D241" t="s">
        <v>22</v>
      </c>
    </row>
    <row r="242" spans="1:4" x14ac:dyDescent="0.25">
      <c r="A242" s="1">
        <v>45487</v>
      </c>
      <c r="B242" t="s">
        <v>124</v>
      </c>
      <c r="C242" s="2">
        <v>2.2000000000000002</v>
      </c>
      <c r="D242" t="s">
        <v>22</v>
      </c>
    </row>
    <row r="243" spans="1:4" x14ac:dyDescent="0.25">
      <c r="A243" s="1">
        <v>45487</v>
      </c>
      <c r="B243" t="s">
        <v>178</v>
      </c>
      <c r="C243" s="2">
        <v>7.6</v>
      </c>
      <c r="D243" t="s">
        <v>22</v>
      </c>
    </row>
    <row r="244" spans="1:4" x14ac:dyDescent="0.25">
      <c r="A244" s="1">
        <v>45490</v>
      </c>
      <c r="B244" t="s">
        <v>160</v>
      </c>
      <c r="C244" s="2">
        <v>2.65</v>
      </c>
      <c r="D244" t="s">
        <v>22</v>
      </c>
    </row>
    <row r="245" spans="1:4" x14ac:dyDescent="0.25">
      <c r="A245" s="1">
        <v>45490</v>
      </c>
      <c r="B245" t="s">
        <v>160</v>
      </c>
      <c r="C245" s="2">
        <v>2.65</v>
      </c>
      <c r="D245" t="s">
        <v>22</v>
      </c>
    </row>
    <row r="246" spans="1:4" x14ac:dyDescent="0.25">
      <c r="A246" s="1">
        <v>45490</v>
      </c>
      <c r="B246" t="s">
        <v>131</v>
      </c>
      <c r="C246" s="2">
        <v>4.53</v>
      </c>
      <c r="D246" t="s">
        <v>22</v>
      </c>
    </row>
    <row r="247" spans="1:4" x14ac:dyDescent="0.25">
      <c r="A247" s="1">
        <v>45490</v>
      </c>
      <c r="B247" t="s">
        <v>76</v>
      </c>
      <c r="C247" s="2">
        <v>0.31</v>
      </c>
      <c r="D247" t="s">
        <v>22</v>
      </c>
    </row>
    <row r="248" spans="1:4" x14ac:dyDescent="0.25">
      <c r="A248" s="1">
        <v>45490</v>
      </c>
      <c r="B248" t="s">
        <v>179</v>
      </c>
      <c r="C248" s="2">
        <v>0.12</v>
      </c>
      <c r="D248" t="s">
        <v>22</v>
      </c>
    </row>
    <row r="249" spans="1:4" x14ac:dyDescent="0.25">
      <c r="A249" s="1">
        <v>45490</v>
      </c>
      <c r="B249" t="s">
        <v>180</v>
      </c>
      <c r="C249" s="2">
        <v>0.08</v>
      </c>
      <c r="D249" t="s">
        <v>22</v>
      </c>
    </row>
    <row r="250" spans="1:4" x14ac:dyDescent="0.25">
      <c r="A250" s="1">
        <v>45490</v>
      </c>
      <c r="B250" t="s">
        <v>181</v>
      </c>
      <c r="C250" s="2">
        <v>2.2000000000000002</v>
      </c>
      <c r="D250" t="s">
        <v>22</v>
      </c>
    </row>
    <row r="251" spans="1:4" x14ac:dyDescent="0.25">
      <c r="A251" s="1">
        <v>45490</v>
      </c>
      <c r="B251" t="s">
        <v>141</v>
      </c>
      <c r="C251" s="2">
        <v>1.2</v>
      </c>
      <c r="D251" t="s">
        <v>22</v>
      </c>
    </row>
    <row r="252" spans="1:4" x14ac:dyDescent="0.25">
      <c r="A252" s="1">
        <v>45490</v>
      </c>
      <c r="B252" t="s">
        <v>112</v>
      </c>
      <c r="C252" s="2">
        <v>7.66</v>
      </c>
      <c r="D252" t="s">
        <v>22</v>
      </c>
    </row>
    <row r="253" spans="1:4" x14ac:dyDescent="0.25">
      <c r="A253" s="1">
        <v>45490</v>
      </c>
      <c r="B253" t="s">
        <v>167</v>
      </c>
      <c r="C253" s="2">
        <v>4.3</v>
      </c>
      <c r="D253" t="s">
        <v>22</v>
      </c>
    </row>
    <row r="254" spans="1:4" x14ac:dyDescent="0.25">
      <c r="A254" s="1">
        <v>45491</v>
      </c>
      <c r="B254" t="s">
        <v>134</v>
      </c>
      <c r="C254" s="2">
        <v>4.25</v>
      </c>
      <c r="D254" t="s">
        <v>22</v>
      </c>
    </row>
    <row r="255" spans="1:4" x14ac:dyDescent="0.25">
      <c r="A255" s="1">
        <v>45493</v>
      </c>
      <c r="B255" t="s">
        <v>71</v>
      </c>
      <c r="C255" s="2">
        <v>3.35</v>
      </c>
      <c r="D255" t="s">
        <v>22</v>
      </c>
    </row>
    <row r="256" spans="1:4" x14ac:dyDescent="0.25">
      <c r="A256" s="1">
        <v>45493</v>
      </c>
      <c r="B256" t="s">
        <v>71</v>
      </c>
      <c r="C256" s="2">
        <v>3.35</v>
      </c>
      <c r="D256" t="s">
        <v>22</v>
      </c>
    </row>
    <row r="257" spans="1:4" x14ac:dyDescent="0.25">
      <c r="A257" s="1">
        <v>45493</v>
      </c>
      <c r="B257" t="s">
        <v>110</v>
      </c>
      <c r="C257" s="2" t="s">
        <v>182</v>
      </c>
      <c r="D257" t="s">
        <v>22</v>
      </c>
    </row>
    <row r="258" spans="1:4" x14ac:dyDescent="0.25">
      <c r="A258" s="1">
        <v>45493</v>
      </c>
      <c r="B258" t="s">
        <v>40</v>
      </c>
      <c r="C258" s="2">
        <v>7.5</v>
      </c>
      <c r="D258" t="s">
        <v>22</v>
      </c>
    </row>
    <row r="259" spans="1:4" x14ac:dyDescent="0.25">
      <c r="A259" s="1">
        <v>45493</v>
      </c>
      <c r="B259" t="s">
        <v>183</v>
      </c>
      <c r="C259" s="2">
        <v>5.9</v>
      </c>
      <c r="D259" t="s">
        <v>22</v>
      </c>
    </row>
    <row r="260" spans="1:4" x14ac:dyDescent="0.25">
      <c r="A260" s="1">
        <v>45494</v>
      </c>
      <c r="B260" t="s">
        <v>198</v>
      </c>
      <c r="C260" s="2">
        <v>13.7</v>
      </c>
      <c r="D260" t="s">
        <v>22</v>
      </c>
    </row>
    <row r="261" spans="1:4" x14ac:dyDescent="0.25">
      <c r="A261" s="1">
        <v>45494</v>
      </c>
      <c r="B261" t="s">
        <v>160</v>
      </c>
      <c r="C261" s="2">
        <v>2.65</v>
      </c>
      <c r="D261" t="s">
        <v>22</v>
      </c>
    </row>
    <row r="262" spans="1:4" x14ac:dyDescent="0.25">
      <c r="A262" s="1">
        <v>45494</v>
      </c>
      <c r="B262" t="s">
        <v>160</v>
      </c>
      <c r="C262" s="2">
        <v>2.65</v>
      </c>
      <c r="D262" t="s">
        <v>22</v>
      </c>
    </row>
    <row r="263" spans="1:4" x14ac:dyDescent="0.25">
      <c r="A263" s="1">
        <v>45499</v>
      </c>
      <c r="B263" t="s">
        <v>160</v>
      </c>
      <c r="C263" s="2">
        <v>2.65</v>
      </c>
      <c r="D263" t="s">
        <v>22</v>
      </c>
    </row>
    <row r="264" spans="1:4" x14ac:dyDescent="0.25">
      <c r="A264" s="1">
        <v>45499</v>
      </c>
      <c r="B264" t="s">
        <v>160</v>
      </c>
      <c r="C264" s="2">
        <v>2.65</v>
      </c>
      <c r="D264" t="s">
        <v>22</v>
      </c>
    </row>
    <row r="265" spans="1:4" x14ac:dyDescent="0.25">
      <c r="A265" s="1">
        <v>45499</v>
      </c>
      <c r="B265" t="s">
        <v>134</v>
      </c>
      <c r="C265" s="2">
        <v>4.2</v>
      </c>
      <c r="D265" t="s">
        <v>22</v>
      </c>
    </row>
    <row r="266" spans="1:4" x14ac:dyDescent="0.25">
      <c r="A266" s="1">
        <v>45499</v>
      </c>
      <c r="B266" t="s">
        <v>199</v>
      </c>
      <c r="C266" s="2">
        <v>8.91</v>
      </c>
      <c r="D266" t="s">
        <v>22</v>
      </c>
    </row>
    <row r="267" spans="1:4" x14ac:dyDescent="0.25">
      <c r="A267" s="1">
        <v>45499</v>
      </c>
      <c r="B267" t="s">
        <v>200</v>
      </c>
      <c r="C267" s="2">
        <v>5.7</v>
      </c>
      <c r="D267" t="s">
        <v>22</v>
      </c>
    </row>
    <row r="268" spans="1:4" x14ac:dyDescent="0.25">
      <c r="A268" s="1">
        <v>45499</v>
      </c>
      <c r="B268" t="s">
        <v>201</v>
      </c>
      <c r="C268" s="2">
        <v>9.5</v>
      </c>
      <c r="D268" t="s">
        <v>22</v>
      </c>
    </row>
    <row r="269" spans="1:4" x14ac:dyDescent="0.25">
      <c r="A269" s="1">
        <v>45499</v>
      </c>
      <c r="B269" t="s">
        <v>148</v>
      </c>
      <c r="C269" s="2">
        <v>8.4</v>
      </c>
      <c r="D269" t="s">
        <v>22</v>
      </c>
    </row>
    <row r="270" spans="1:4" x14ac:dyDescent="0.25">
      <c r="A270" s="1">
        <v>45499</v>
      </c>
      <c r="B270" t="s">
        <v>106</v>
      </c>
      <c r="C270" s="2">
        <v>2.71</v>
      </c>
      <c r="D270" t="s">
        <v>22</v>
      </c>
    </row>
    <row r="271" spans="1:4" x14ac:dyDescent="0.25">
      <c r="A271" s="1">
        <v>45499</v>
      </c>
      <c r="B271" t="s">
        <v>76</v>
      </c>
      <c r="C271" s="2">
        <v>1.34</v>
      </c>
      <c r="D271" t="s">
        <v>22</v>
      </c>
    </row>
    <row r="272" spans="1:4" x14ac:dyDescent="0.25">
      <c r="A272" s="1">
        <v>45499</v>
      </c>
      <c r="B272" t="s">
        <v>202</v>
      </c>
      <c r="C272" s="2">
        <v>1.34</v>
      </c>
      <c r="D272" t="s">
        <v>22</v>
      </c>
    </row>
    <row r="273" spans="1:4" x14ac:dyDescent="0.25">
      <c r="A273" s="1">
        <v>45508</v>
      </c>
      <c r="B273" t="s">
        <v>184</v>
      </c>
      <c r="C273" s="2">
        <v>3.6</v>
      </c>
      <c r="D273" t="s">
        <v>22</v>
      </c>
    </row>
    <row r="274" spans="1:4" x14ac:dyDescent="0.25">
      <c r="A274" s="1">
        <v>45508</v>
      </c>
      <c r="B274" t="s">
        <v>185</v>
      </c>
      <c r="C274" s="2">
        <v>3.45</v>
      </c>
      <c r="D274" t="s">
        <v>22</v>
      </c>
    </row>
    <row r="275" spans="1:4" x14ac:dyDescent="0.25">
      <c r="A275" s="1">
        <v>45508</v>
      </c>
      <c r="B275" t="s">
        <v>186</v>
      </c>
      <c r="C275" s="2">
        <v>5.0999999999999996</v>
      </c>
      <c r="D275" t="s">
        <v>22</v>
      </c>
    </row>
    <row r="276" spans="1:4" x14ac:dyDescent="0.25">
      <c r="A276" s="1">
        <v>45508</v>
      </c>
      <c r="B276" t="s">
        <v>187</v>
      </c>
      <c r="C276" s="2">
        <v>4.7</v>
      </c>
      <c r="D276" t="s">
        <v>22</v>
      </c>
    </row>
    <row r="277" spans="1:4" x14ac:dyDescent="0.25">
      <c r="A277" s="1">
        <v>45508</v>
      </c>
      <c r="B277" t="s">
        <v>188</v>
      </c>
      <c r="C277" s="2">
        <v>7.7</v>
      </c>
      <c r="D277" t="s">
        <v>22</v>
      </c>
    </row>
    <row r="278" spans="1:4" x14ac:dyDescent="0.25">
      <c r="A278" s="1">
        <v>45513</v>
      </c>
      <c r="B278" t="s">
        <v>198</v>
      </c>
      <c r="C278" s="2">
        <v>13.7</v>
      </c>
      <c r="D278" t="s">
        <v>22</v>
      </c>
    </row>
    <row r="279" spans="1:4" x14ac:dyDescent="0.25">
      <c r="A279" s="1">
        <v>45513</v>
      </c>
      <c r="B279" t="s">
        <v>160</v>
      </c>
      <c r="C279" s="2">
        <v>2.65</v>
      </c>
      <c r="D279" t="s">
        <v>22</v>
      </c>
    </row>
    <row r="280" spans="1:4" x14ac:dyDescent="0.25">
      <c r="A280" s="1">
        <v>45513</v>
      </c>
      <c r="B280" t="s">
        <v>160</v>
      </c>
      <c r="C280" s="2">
        <v>2.65</v>
      </c>
      <c r="D280" t="s">
        <v>22</v>
      </c>
    </row>
    <row r="281" spans="1:4" x14ac:dyDescent="0.25">
      <c r="A281" s="1">
        <v>45513</v>
      </c>
      <c r="B281" t="s">
        <v>76</v>
      </c>
      <c r="C281" s="2">
        <v>0.49</v>
      </c>
      <c r="D281" t="s">
        <v>22</v>
      </c>
    </row>
    <row r="282" spans="1:4" x14ac:dyDescent="0.25">
      <c r="A282" s="1">
        <v>45513</v>
      </c>
      <c r="B282" t="s">
        <v>159</v>
      </c>
      <c r="C282" s="2">
        <v>0.25</v>
      </c>
      <c r="D282" t="s">
        <v>22</v>
      </c>
    </row>
    <row r="283" spans="1:4" x14ac:dyDescent="0.25">
      <c r="A283" s="1">
        <v>45524</v>
      </c>
      <c r="B283" t="s">
        <v>160</v>
      </c>
      <c r="C283" s="2">
        <v>2.65</v>
      </c>
      <c r="D283" t="s">
        <v>22</v>
      </c>
    </row>
    <row r="284" spans="1:4" x14ac:dyDescent="0.25">
      <c r="A284" s="1">
        <v>45524</v>
      </c>
      <c r="B284" t="s">
        <v>160</v>
      </c>
      <c r="C284" s="2">
        <v>2.65</v>
      </c>
      <c r="D284" t="s">
        <v>22</v>
      </c>
    </row>
    <row r="285" spans="1:4" x14ac:dyDescent="0.25">
      <c r="A285" s="1">
        <v>45524</v>
      </c>
      <c r="B285" t="s">
        <v>204</v>
      </c>
      <c r="C285" s="2">
        <v>5.8</v>
      </c>
      <c r="D285" t="s">
        <v>22</v>
      </c>
    </row>
    <row r="286" spans="1:4" x14ac:dyDescent="0.25">
      <c r="A286" s="1">
        <v>45524</v>
      </c>
      <c r="B286" t="s">
        <v>205</v>
      </c>
      <c r="C286" s="2">
        <v>13.7</v>
      </c>
      <c r="D286" t="s">
        <v>22</v>
      </c>
    </row>
    <row r="287" spans="1:4" x14ac:dyDescent="0.25">
      <c r="A287" s="1">
        <v>45526</v>
      </c>
      <c r="B287" t="s">
        <v>206</v>
      </c>
      <c r="C287" s="2">
        <v>6.9</v>
      </c>
      <c r="D287" t="s">
        <v>22</v>
      </c>
    </row>
    <row r="288" spans="1:4" x14ac:dyDescent="0.25">
      <c r="A288" s="1">
        <v>45526</v>
      </c>
      <c r="B288" t="s">
        <v>207</v>
      </c>
      <c r="C288" s="2">
        <v>4.3</v>
      </c>
      <c r="D288" t="s">
        <v>22</v>
      </c>
    </row>
    <row r="289" spans="1:4" x14ac:dyDescent="0.25">
      <c r="A289" s="1">
        <v>45529</v>
      </c>
      <c r="B289" t="s">
        <v>160</v>
      </c>
      <c r="C289" s="2">
        <v>2.65</v>
      </c>
      <c r="D289" t="s">
        <v>22</v>
      </c>
    </row>
    <row r="290" spans="1:4" x14ac:dyDescent="0.25">
      <c r="A290" s="1">
        <v>45529</v>
      </c>
      <c r="B290" t="s">
        <v>160</v>
      </c>
      <c r="C290" s="2">
        <v>2.65</v>
      </c>
      <c r="D290" t="s">
        <v>22</v>
      </c>
    </row>
    <row r="291" spans="1:4" x14ac:dyDescent="0.25">
      <c r="A291" s="1">
        <v>45529</v>
      </c>
      <c r="B291" t="s">
        <v>208</v>
      </c>
      <c r="C291" s="2">
        <v>9.3000000000000007</v>
      </c>
      <c r="D291" t="s">
        <v>22</v>
      </c>
    </row>
    <row r="292" spans="1:4" x14ac:dyDescent="0.25">
      <c r="A292" s="1">
        <v>45529</v>
      </c>
      <c r="B292" t="s">
        <v>209</v>
      </c>
      <c r="C292" s="2">
        <v>4.25</v>
      </c>
      <c r="D292" t="s">
        <v>22</v>
      </c>
    </row>
    <row r="293" spans="1:4" x14ac:dyDescent="0.25">
      <c r="A293" s="1">
        <v>45529</v>
      </c>
      <c r="B293" t="s">
        <v>210</v>
      </c>
      <c r="C293" s="2">
        <v>5.3</v>
      </c>
      <c r="D293" t="s">
        <v>22</v>
      </c>
    </row>
    <row r="294" spans="1:4" x14ac:dyDescent="0.25">
      <c r="A294" s="1">
        <v>45529</v>
      </c>
      <c r="B294" t="s">
        <v>93</v>
      </c>
      <c r="C294" s="2">
        <v>3.13</v>
      </c>
      <c r="D294" t="s">
        <v>22</v>
      </c>
    </row>
    <row r="295" spans="1:4" x14ac:dyDescent="0.25">
      <c r="A295" s="1">
        <v>45529</v>
      </c>
      <c r="B295" t="s">
        <v>116</v>
      </c>
      <c r="C295" s="2">
        <v>7.6</v>
      </c>
      <c r="D295" t="s">
        <v>22</v>
      </c>
    </row>
    <row r="296" spans="1:4" x14ac:dyDescent="0.25">
      <c r="A296" s="1">
        <v>45529</v>
      </c>
      <c r="B296" t="s">
        <v>211</v>
      </c>
      <c r="C296" s="2">
        <v>8.09</v>
      </c>
      <c r="D296" t="s">
        <v>22</v>
      </c>
    </row>
    <row r="297" spans="1:4" x14ac:dyDescent="0.25">
      <c r="A297" s="1">
        <v>45535</v>
      </c>
      <c r="B297" t="s">
        <v>212</v>
      </c>
      <c r="C297" s="2">
        <v>4.3</v>
      </c>
      <c r="D297" t="s">
        <v>22</v>
      </c>
    </row>
    <row r="298" spans="1:4" x14ac:dyDescent="0.25">
      <c r="A298" s="1">
        <v>45542</v>
      </c>
      <c r="B298" t="s">
        <v>160</v>
      </c>
      <c r="C298" s="2">
        <v>2.65</v>
      </c>
      <c r="D298" t="s">
        <v>22</v>
      </c>
    </row>
    <row r="299" spans="1:4" x14ac:dyDescent="0.25">
      <c r="A299" s="1">
        <v>45542</v>
      </c>
      <c r="B299" t="s">
        <v>160</v>
      </c>
      <c r="C299" s="2">
        <v>2.65</v>
      </c>
      <c r="D299" t="s">
        <v>22</v>
      </c>
    </row>
    <row r="300" spans="1:4" x14ac:dyDescent="0.25">
      <c r="A300" s="1">
        <v>45542</v>
      </c>
      <c r="B300" t="s">
        <v>116</v>
      </c>
      <c r="C300" s="2">
        <v>7.65</v>
      </c>
      <c r="D300" t="s">
        <v>22</v>
      </c>
    </row>
    <row r="301" spans="1:4" x14ac:dyDescent="0.25">
      <c r="A301" s="1">
        <v>45542</v>
      </c>
      <c r="B301" t="s">
        <v>213</v>
      </c>
      <c r="C301" s="2">
        <v>8.9</v>
      </c>
      <c r="D301" t="s">
        <v>22</v>
      </c>
    </row>
    <row r="302" spans="1:4" x14ac:dyDescent="0.25">
      <c r="A302" s="1">
        <v>45542</v>
      </c>
      <c r="B302" t="s">
        <v>214</v>
      </c>
      <c r="C302" s="2">
        <v>10.96</v>
      </c>
      <c r="D302" t="s">
        <v>22</v>
      </c>
    </row>
    <row r="303" spans="1:4" x14ac:dyDescent="0.25">
      <c r="A303" s="1">
        <v>45542</v>
      </c>
      <c r="B303" t="s">
        <v>131</v>
      </c>
      <c r="C303" s="2">
        <v>3.32</v>
      </c>
      <c r="D303" t="s">
        <v>22</v>
      </c>
    </row>
    <row r="304" spans="1:4" x14ac:dyDescent="0.25">
      <c r="A304" s="1">
        <v>45542</v>
      </c>
      <c r="B304" t="s">
        <v>180</v>
      </c>
      <c r="C304" s="2">
        <v>0.08</v>
      </c>
      <c r="D304" t="s">
        <v>22</v>
      </c>
    </row>
    <row r="305" spans="1:4" x14ac:dyDescent="0.25">
      <c r="A305" s="1">
        <v>45542</v>
      </c>
      <c r="B305" t="s">
        <v>172</v>
      </c>
      <c r="C305" s="2">
        <v>3.25</v>
      </c>
      <c r="D305" t="s">
        <v>22</v>
      </c>
    </row>
    <row r="306" spans="1:4" x14ac:dyDescent="0.25">
      <c r="A306" s="1">
        <v>45542</v>
      </c>
      <c r="B306" t="s">
        <v>215</v>
      </c>
      <c r="C306" s="2">
        <v>4.25</v>
      </c>
      <c r="D306" t="s">
        <v>22</v>
      </c>
    </row>
    <row r="307" spans="1:4" x14ac:dyDescent="0.25">
      <c r="A307" s="1">
        <v>45553</v>
      </c>
      <c r="B307" t="s">
        <v>216</v>
      </c>
      <c r="C307" s="2">
        <v>13.7</v>
      </c>
      <c r="D307" t="s">
        <v>22</v>
      </c>
    </row>
    <row r="308" spans="1:4" x14ac:dyDescent="0.25">
      <c r="A308" s="1">
        <v>45553</v>
      </c>
      <c r="B308" t="s">
        <v>160</v>
      </c>
      <c r="C308" s="2">
        <v>2.65</v>
      </c>
      <c r="D308" t="s">
        <v>22</v>
      </c>
    </row>
    <row r="309" spans="1:4" x14ac:dyDescent="0.25">
      <c r="A309" s="1">
        <v>45553</v>
      </c>
      <c r="B309" t="s">
        <v>160</v>
      </c>
      <c r="C309" s="2">
        <v>2.65</v>
      </c>
      <c r="D309" t="s">
        <v>22</v>
      </c>
    </row>
    <row r="310" spans="1:4" x14ac:dyDescent="0.25">
      <c r="A310" s="1">
        <v>45553</v>
      </c>
      <c r="B310" t="s">
        <v>217</v>
      </c>
      <c r="C310" s="2">
        <v>7.7</v>
      </c>
      <c r="D310" t="s">
        <v>22</v>
      </c>
    </row>
    <row r="311" spans="1:4" x14ac:dyDescent="0.25">
      <c r="A311" s="1">
        <v>45553</v>
      </c>
      <c r="B311" t="s">
        <v>218</v>
      </c>
      <c r="C311" s="2">
        <v>4.7</v>
      </c>
      <c r="D311" t="s">
        <v>22</v>
      </c>
    </row>
    <row r="312" spans="1:4" x14ac:dyDescent="0.25">
      <c r="A312" s="1">
        <v>45553</v>
      </c>
      <c r="B312" t="s">
        <v>147</v>
      </c>
      <c r="C312" s="2">
        <v>1.1599999999999999</v>
      </c>
      <c r="D312" t="s">
        <v>22</v>
      </c>
    </row>
    <row r="313" spans="1:4" x14ac:dyDescent="0.25">
      <c r="A313" s="1">
        <v>45553</v>
      </c>
      <c r="B313" t="s">
        <v>131</v>
      </c>
      <c r="C313" s="2">
        <v>1.55</v>
      </c>
      <c r="D313" t="s">
        <v>22</v>
      </c>
    </row>
    <row r="314" spans="1:4" x14ac:dyDescent="0.25">
      <c r="A314" s="1">
        <v>45554</v>
      </c>
      <c r="B314" t="s">
        <v>219</v>
      </c>
      <c r="C314" s="2">
        <v>4.25</v>
      </c>
      <c r="D314" t="s">
        <v>22</v>
      </c>
    </row>
    <row r="315" spans="1:4" x14ac:dyDescent="0.25">
      <c r="A315" s="1">
        <v>45560</v>
      </c>
      <c r="B315" t="s">
        <v>212</v>
      </c>
      <c r="C315" s="2">
        <v>4.3</v>
      </c>
      <c r="D315" t="s">
        <v>22</v>
      </c>
    </row>
    <row r="316" spans="1:4" x14ac:dyDescent="0.25">
      <c r="A316" s="1">
        <v>45563</v>
      </c>
      <c r="B316" t="s">
        <v>112</v>
      </c>
      <c r="C316" s="2">
        <v>10.82</v>
      </c>
      <c r="D316" t="s">
        <v>22</v>
      </c>
    </row>
    <row r="317" spans="1:4" x14ac:dyDescent="0.25">
      <c r="A317" s="1">
        <v>45563</v>
      </c>
      <c r="B317" t="s">
        <v>220</v>
      </c>
      <c r="C317" s="2">
        <v>10.5</v>
      </c>
      <c r="D317" t="s">
        <v>22</v>
      </c>
    </row>
    <row r="318" spans="1:4" x14ac:dyDescent="0.25">
      <c r="A318" s="1">
        <v>45563</v>
      </c>
      <c r="B318" t="s">
        <v>221</v>
      </c>
      <c r="C318" s="2">
        <v>0.25</v>
      </c>
      <c r="D318" t="s">
        <v>22</v>
      </c>
    </row>
    <row r="319" spans="1:4" x14ac:dyDescent="0.25">
      <c r="A319" s="1">
        <v>45563</v>
      </c>
      <c r="B319" t="s">
        <v>131</v>
      </c>
      <c r="C319" s="2">
        <v>4.71</v>
      </c>
      <c r="D319" t="s">
        <v>22</v>
      </c>
    </row>
    <row r="320" spans="1:4" x14ac:dyDescent="0.25">
      <c r="A320" s="1">
        <v>45563</v>
      </c>
      <c r="B320" t="s">
        <v>222</v>
      </c>
      <c r="C320" s="2">
        <v>2.9</v>
      </c>
      <c r="D320" t="s">
        <v>22</v>
      </c>
    </row>
    <row r="321" spans="1:4" x14ac:dyDescent="0.25">
      <c r="A321" s="1">
        <v>45563</v>
      </c>
      <c r="B321" t="s">
        <v>187</v>
      </c>
      <c r="C321" s="2">
        <v>4.7</v>
      </c>
      <c r="D321" t="s">
        <v>22</v>
      </c>
    </row>
    <row r="322" spans="1:4" x14ac:dyDescent="0.25">
      <c r="A322" s="1">
        <v>45563</v>
      </c>
      <c r="B322" t="s">
        <v>160</v>
      </c>
      <c r="C322" s="2">
        <v>2.65</v>
      </c>
      <c r="D322" t="s">
        <v>22</v>
      </c>
    </row>
    <row r="323" spans="1:4" x14ac:dyDescent="0.25">
      <c r="A323" s="1">
        <v>45563</v>
      </c>
      <c r="B323" t="s">
        <v>160</v>
      </c>
      <c r="C323" s="2">
        <v>2.65</v>
      </c>
      <c r="D323" t="s">
        <v>22</v>
      </c>
    </row>
    <row r="324" spans="1:4" x14ac:dyDescent="0.25">
      <c r="A324" s="1">
        <v>45563</v>
      </c>
      <c r="B324" t="s">
        <v>134</v>
      </c>
      <c r="C324" s="2">
        <v>4.25</v>
      </c>
      <c r="D324" t="s">
        <v>22</v>
      </c>
    </row>
    <row r="325" spans="1:4" x14ac:dyDescent="0.25">
      <c r="A325" s="1">
        <v>45563</v>
      </c>
      <c r="B325" t="s">
        <v>216</v>
      </c>
      <c r="C325" s="2">
        <v>13.7</v>
      </c>
      <c r="D325" t="s">
        <v>22</v>
      </c>
    </row>
    <row r="326" spans="1:4" x14ac:dyDescent="0.25">
      <c r="A326" s="1">
        <v>45571</v>
      </c>
      <c r="B326" t="s">
        <v>223</v>
      </c>
      <c r="C326" s="2">
        <v>7.1</v>
      </c>
      <c r="D326" t="s">
        <v>22</v>
      </c>
    </row>
    <row r="327" spans="1:4" x14ac:dyDescent="0.25">
      <c r="A327" s="1">
        <v>45571</v>
      </c>
      <c r="B327" t="s">
        <v>224</v>
      </c>
      <c r="C327" s="2">
        <v>14.4</v>
      </c>
      <c r="D327" t="s">
        <v>22</v>
      </c>
    </row>
    <row r="328" spans="1:4" x14ac:dyDescent="0.25">
      <c r="A328" s="1">
        <v>45571</v>
      </c>
      <c r="B328" t="s">
        <v>225</v>
      </c>
      <c r="C328" s="2">
        <v>12.7</v>
      </c>
      <c r="D328" t="s">
        <v>22</v>
      </c>
    </row>
    <row r="329" spans="1:4" x14ac:dyDescent="0.25">
      <c r="A329" s="1">
        <v>45571</v>
      </c>
      <c r="B329" t="s">
        <v>49</v>
      </c>
      <c r="C329" s="2">
        <v>7.6</v>
      </c>
      <c r="D329" t="s">
        <v>22</v>
      </c>
    </row>
    <row r="330" spans="1:4" x14ac:dyDescent="0.25">
      <c r="A330" s="1">
        <v>45571</v>
      </c>
      <c r="B330" t="s">
        <v>226</v>
      </c>
      <c r="C330" s="2">
        <v>11</v>
      </c>
      <c r="D330" t="s">
        <v>22</v>
      </c>
    </row>
    <row r="331" spans="1:4" x14ac:dyDescent="0.25">
      <c r="A331" s="1">
        <v>45571</v>
      </c>
      <c r="B331" t="s">
        <v>227</v>
      </c>
      <c r="C331" s="2">
        <v>15.9</v>
      </c>
      <c r="D331" t="s">
        <v>22</v>
      </c>
    </row>
    <row r="332" spans="1:4" x14ac:dyDescent="0.25">
      <c r="A332" s="1">
        <v>45571</v>
      </c>
      <c r="B332" t="s">
        <v>228</v>
      </c>
      <c r="C332" s="2">
        <v>8.5</v>
      </c>
      <c r="D332" t="s">
        <v>22</v>
      </c>
    </row>
    <row r="333" spans="1:4" x14ac:dyDescent="0.25">
      <c r="A333" s="1">
        <v>45571</v>
      </c>
      <c r="B333" t="s">
        <v>160</v>
      </c>
      <c r="C333" s="2">
        <v>2.65</v>
      </c>
      <c r="D333" t="s">
        <v>22</v>
      </c>
    </row>
    <row r="334" spans="1:4" x14ac:dyDescent="0.25">
      <c r="A334" s="1">
        <v>45571</v>
      </c>
      <c r="B334" t="s">
        <v>160</v>
      </c>
      <c r="C334" s="2">
        <v>2.65</v>
      </c>
      <c r="D334" t="s">
        <v>22</v>
      </c>
    </row>
    <row r="335" spans="1:4" x14ac:dyDescent="0.25">
      <c r="A335" s="1">
        <v>45571</v>
      </c>
      <c r="B335" t="s">
        <v>219</v>
      </c>
      <c r="C335" s="2">
        <v>4.25</v>
      </c>
      <c r="D335" t="s">
        <v>22</v>
      </c>
    </row>
    <row r="336" spans="1:4" x14ac:dyDescent="0.25">
      <c r="A336" s="1">
        <v>45571</v>
      </c>
      <c r="B336" t="s">
        <v>229</v>
      </c>
      <c r="C336" s="2">
        <v>4.3</v>
      </c>
      <c r="D336" t="s">
        <v>22</v>
      </c>
    </row>
    <row r="337" spans="1:4" x14ac:dyDescent="0.25">
      <c r="A337" s="1">
        <v>45571</v>
      </c>
      <c r="B337" t="s">
        <v>71</v>
      </c>
      <c r="C337" s="2">
        <v>3.35</v>
      </c>
      <c r="D337" t="s">
        <v>22</v>
      </c>
    </row>
    <row r="338" spans="1:4" x14ac:dyDescent="0.25">
      <c r="A338" s="1">
        <v>45571</v>
      </c>
      <c r="B338" t="s">
        <v>71</v>
      </c>
      <c r="C338" s="2">
        <v>3.35</v>
      </c>
      <c r="D338" t="s">
        <v>22</v>
      </c>
    </row>
    <row r="339" spans="1:4" x14ac:dyDescent="0.25">
      <c r="A339" s="1">
        <v>45571</v>
      </c>
      <c r="B339" t="s">
        <v>71</v>
      </c>
      <c r="C339" s="2">
        <v>3.35</v>
      </c>
      <c r="D339" t="s">
        <v>22</v>
      </c>
    </row>
    <row r="340" spans="1:4" x14ac:dyDescent="0.25">
      <c r="A340" s="1">
        <v>45571</v>
      </c>
      <c r="B340" t="s">
        <v>71</v>
      </c>
      <c r="C340" s="2">
        <v>3.35</v>
      </c>
      <c r="D340" t="s">
        <v>22</v>
      </c>
    </row>
    <row r="341" spans="1:4" x14ac:dyDescent="0.25">
      <c r="A341" s="1">
        <v>45571</v>
      </c>
      <c r="B341" t="s">
        <v>230</v>
      </c>
      <c r="C341" s="2">
        <v>4.3899999999999997</v>
      </c>
      <c r="D341" t="s">
        <v>22</v>
      </c>
    </row>
    <row r="342" spans="1:4" x14ac:dyDescent="0.25">
      <c r="A342" s="1">
        <v>45575</v>
      </c>
      <c r="B342" t="s">
        <v>134</v>
      </c>
      <c r="C342" s="2">
        <v>4.25</v>
      </c>
      <c r="D342" t="s">
        <v>22</v>
      </c>
    </row>
    <row r="343" spans="1:4" x14ac:dyDescent="0.25">
      <c r="A343" s="1">
        <v>45575</v>
      </c>
      <c r="B343" t="s">
        <v>160</v>
      </c>
      <c r="C343" s="2">
        <v>2.65</v>
      </c>
      <c r="D343" t="s">
        <v>22</v>
      </c>
    </row>
    <row r="344" spans="1:4" x14ac:dyDescent="0.25">
      <c r="A344" s="1">
        <v>45575</v>
      </c>
      <c r="B344" t="s">
        <v>131</v>
      </c>
      <c r="C344" s="2">
        <v>4.1900000000000004</v>
      </c>
      <c r="D344" t="s">
        <v>22</v>
      </c>
    </row>
    <row r="345" spans="1:4" x14ac:dyDescent="0.25">
      <c r="A345" s="1">
        <v>45579</v>
      </c>
      <c r="B345" t="s">
        <v>231</v>
      </c>
      <c r="C345" s="2">
        <v>2.6</v>
      </c>
      <c r="D345" t="s">
        <v>22</v>
      </c>
    </row>
    <row r="346" spans="1:4" x14ac:dyDescent="0.25">
      <c r="A346" s="1">
        <v>45579</v>
      </c>
      <c r="B346" t="s">
        <v>40</v>
      </c>
      <c r="C346" s="2">
        <v>7.5</v>
      </c>
      <c r="D346" t="s">
        <v>22</v>
      </c>
    </row>
    <row r="347" spans="1:4" x14ac:dyDescent="0.25">
      <c r="A347" s="1">
        <v>45579</v>
      </c>
      <c r="B347" t="s">
        <v>232</v>
      </c>
      <c r="C347" s="2">
        <v>9.8000000000000007</v>
      </c>
      <c r="D347" t="s">
        <v>22</v>
      </c>
    </row>
    <row r="348" spans="1:4" x14ac:dyDescent="0.25">
      <c r="A348" s="1">
        <v>45579</v>
      </c>
      <c r="B348" t="s">
        <v>76</v>
      </c>
      <c r="C348" s="2">
        <v>1.1100000000000001</v>
      </c>
      <c r="D348" t="s">
        <v>22</v>
      </c>
    </row>
    <row r="349" spans="1:4" x14ac:dyDescent="0.25">
      <c r="A349" s="1">
        <v>45584</v>
      </c>
      <c r="B349" t="s">
        <v>49</v>
      </c>
      <c r="C349" s="2">
        <v>6.99</v>
      </c>
      <c r="D349" t="s">
        <v>22</v>
      </c>
    </row>
    <row r="350" spans="1:4" x14ac:dyDescent="0.25">
      <c r="A350" s="1">
        <v>45584</v>
      </c>
      <c r="B350" t="s">
        <v>231</v>
      </c>
      <c r="C350" s="2">
        <v>2.6</v>
      </c>
      <c r="D350" t="s">
        <v>22</v>
      </c>
    </row>
    <row r="351" spans="1:4" x14ac:dyDescent="0.25">
      <c r="A351" s="1">
        <v>45584</v>
      </c>
      <c r="B351" t="s">
        <v>226</v>
      </c>
      <c r="C351" s="2">
        <v>11.66</v>
      </c>
      <c r="D351" t="s">
        <v>22</v>
      </c>
    </row>
    <row r="352" spans="1:4" x14ac:dyDescent="0.25">
      <c r="A352" s="1">
        <v>45584</v>
      </c>
      <c r="B352" t="s">
        <v>160</v>
      </c>
      <c r="C352" s="2">
        <v>2.65</v>
      </c>
      <c r="D352" t="s">
        <v>22</v>
      </c>
    </row>
    <row r="353" spans="1:4" x14ac:dyDescent="0.25">
      <c r="A353" s="1">
        <v>45584</v>
      </c>
      <c r="B353" t="s">
        <v>160</v>
      </c>
      <c r="C353" s="2">
        <v>2.65</v>
      </c>
      <c r="D353" t="s">
        <v>22</v>
      </c>
    </row>
    <row r="354" spans="1:4" x14ac:dyDescent="0.25">
      <c r="A354" s="1">
        <v>45584</v>
      </c>
      <c r="B354" t="s">
        <v>134</v>
      </c>
      <c r="C354" s="2">
        <v>4.25</v>
      </c>
      <c r="D354" t="s">
        <v>22</v>
      </c>
    </row>
    <row r="355" spans="1:4" x14ac:dyDescent="0.25">
      <c r="A355" s="1">
        <v>45584</v>
      </c>
      <c r="B355" t="s">
        <v>233</v>
      </c>
      <c r="C355" s="2">
        <v>8.9</v>
      </c>
      <c r="D355" t="s">
        <v>22</v>
      </c>
    </row>
    <row r="356" spans="1:4" x14ac:dyDescent="0.25">
      <c r="A356" s="1">
        <v>45584</v>
      </c>
      <c r="B356" t="s">
        <v>234</v>
      </c>
      <c r="C356" s="2">
        <v>5.8</v>
      </c>
      <c r="D356" t="s">
        <v>22</v>
      </c>
    </row>
    <row r="357" spans="1:4" x14ac:dyDescent="0.25">
      <c r="A357" s="1">
        <v>45584</v>
      </c>
      <c r="B357" t="s">
        <v>71</v>
      </c>
      <c r="C357" s="2">
        <v>3.35</v>
      </c>
      <c r="D357" t="s">
        <v>22</v>
      </c>
    </row>
    <row r="358" spans="1:4" x14ac:dyDescent="0.25">
      <c r="A358" s="1">
        <v>45584</v>
      </c>
      <c r="B358" t="s">
        <v>71</v>
      </c>
      <c r="C358" s="2">
        <v>3.35</v>
      </c>
      <c r="D358" t="s">
        <v>22</v>
      </c>
    </row>
    <row r="359" spans="1:4" x14ac:dyDescent="0.25">
      <c r="A359" s="1">
        <v>45584</v>
      </c>
      <c r="B359" t="s">
        <v>71</v>
      </c>
      <c r="C359" s="2">
        <v>3.35</v>
      </c>
      <c r="D359" t="s">
        <v>22</v>
      </c>
    </row>
    <row r="360" spans="1:4" x14ac:dyDescent="0.25">
      <c r="A360" s="1">
        <v>45584</v>
      </c>
      <c r="B360" t="s">
        <v>71</v>
      </c>
      <c r="C360" s="2">
        <v>3.35</v>
      </c>
      <c r="D360" t="s">
        <v>22</v>
      </c>
    </row>
    <row r="361" spans="1:4" x14ac:dyDescent="0.25">
      <c r="A361" s="1">
        <v>45584</v>
      </c>
      <c r="B361" t="s">
        <v>235</v>
      </c>
      <c r="C361" s="2">
        <v>7.7</v>
      </c>
      <c r="D361" t="s">
        <v>22</v>
      </c>
    </row>
    <row r="362" spans="1:4" x14ac:dyDescent="0.25">
      <c r="A362" s="1">
        <v>45584</v>
      </c>
      <c r="B362" t="s">
        <v>140</v>
      </c>
      <c r="C362" s="2">
        <v>0.31</v>
      </c>
      <c r="D362" t="s">
        <v>22</v>
      </c>
    </row>
    <row r="363" spans="1:4" x14ac:dyDescent="0.25">
      <c r="A363" s="1">
        <v>45585</v>
      </c>
      <c r="B363" t="s">
        <v>239</v>
      </c>
      <c r="C363" s="2">
        <v>9.4</v>
      </c>
      <c r="D363" t="s">
        <v>22</v>
      </c>
    </row>
    <row r="364" spans="1:4" x14ac:dyDescent="0.25">
      <c r="A364" s="1">
        <v>45591</v>
      </c>
      <c r="B364" t="s">
        <v>187</v>
      </c>
      <c r="C364" s="2">
        <v>4.9000000000000004</v>
      </c>
      <c r="D364" t="s">
        <v>22</v>
      </c>
    </row>
    <row r="365" spans="1:4" x14ac:dyDescent="0.25">
      <c r="A365" s="1">
        <v>45591</v>
      </c>
      <c r="B365" t="s">
        <v>216</v>
      </c>
      <c r="C365" s="2">
        <v>13.7</v>
      </c>
      <c r="D365" t="s">
        <v>22</v>
      </c>
    </row>
    <row r="366" spans="1:4" x14ac:dyDescent="0.25">
      <c r="A366" s="1">
        <v>45591</v>
      </c>
      <c r="B366" t="s">
        <v>236</v>
      </c>
      <c r="C366" s="2">
        <v>5.3</v>
      </c>
      <c r="D366" t="s">
        <v>22</v>
      </c>
    </row>
    <row r="367" spans="1:4" x14ac:dyDescent="0.25">
      <c r="A367" s="1">
        <v>45591</v>
      </c>
      <c r="B367" t="s">
        <v>214</v>
      </c>
      <c r="C367" s="2">
        <v>9.2799999999999994</v>
      </c>
      <c r="D367" t="s">
        <v>22</v>
      </c>
    </row>
    <row r="368" spans="1:4" x14ac:dyDescent="0.25">
      <c r="A368" s="1">
        <v>45591</v>
      </c>
      <c r="B368" t="s">
        <v>237</v>
      </c>
      <c r="C368" s="2">
        <v>4.5999999999999996</v>
      </c>
      <c r="D368" t="s">
        <v>22</v>
      </c>
    </row>
    <row r="369" spans="1:4" x14ac:dyDescent="0.25">
      <c r="A369" s="1">
        <v>45591</v>
      </c>
      <c r="B369" t="s">
        <v>238</v>
      </c>
      <c r="C369" s="2">
        <v>14.5</v>
      </c>
      <c r="D369" t="s">
        <v>22</v>
      </c>
    </row>
    <row r="370" spans="1:4" x14ac:dyDescent="0.25">
      <c r="A370" s="1">
        <v>45591</v>
      </c>
      <c r="B370" t="s">
        <v>172</v>
      </c>
      <c r="C370" s="2">
        <v>3.25</v>
      </c>
      <c r="D370" t="s">
        <v>22</v>
      </c>
    </row>
    <row r="371" spans="1:4" x14ac:dyDescent="0.25">
      <c r="A371" s="1">
        <v>45591</v>
      </c>
      <c r="B371" t="s">
        <v>160</v>
      </c>
      <c r="C371" s="2">
        <v>2.65</v>
      </c>
      <c r="D371" t="s">
        <v>22</v>
      </c>
    </row>
    <row r="372" spans="1:4" x14ac:dyDescent="0.25">
      <c r="A372" s="1">
        <v>45591</v>
      </c>
      <c r="B372" t="s">
        <v>110</v>
      </c>
      <c r="C372" s="2">
        <v>5.9</v>
      </c>
      <c r="D372" t="s">
        <v>22</v>
      </c>
    </row>
    <row r="373" spans="1:4" x14ac:dyDescent="0.25">
      <c r="A373" s="1">
        <v>45591</v>
      </c>
      <c r="B373" t="s">
        <v>110</v>
      </c>
      <c r="C373" s="2">
        <v>5.9</v>
      </c>
      <c r="D373" t="s">
        <v>22</v>
      </c>
    </row>
    <row r="374" spans="1:4" x14ac:dyDescent="0.25">
      <c r="A374" s="1">
        <v>45591</v>
      </c>
      <c r="B374" t="s">
        <v>134</v>
      </c>
      <c r="C374" s="2">
        <v>4.25</v>
      </c>
      <c r="D374" t="s">
        <v>22</v>
      </c>
    </row>
    <row r="375" spans="1:4" x14ac:dyDescent="0.25">
      <c r="A375" s="1">
        <v>45595</v>
      </c>
      <c r="B375" t="s">
        <v>240</v>
      </c>
      <c r="C375" s="2">
        <v>7.19</v>
      </c>
      <c r="D375" t="s">
        <v>22</v>
      </c>
    </row>
    <row r="376" spans="1:4" x14ac:dyDescent="0.25">
      <c r="A376" s="1">
        <v>45595</v>
      </c>
      <c r="B376" t="s">
        <v>241</v>
      </c>
      <c r="C376" s="2">
        <v>9.4</v>
      </c>
      <c r="D376" t="s">
        <v>22</v>
      </c>
    </row>
    <row r="377" spans="1:4" x14ac:dyDescent="0.25">
      <c r="A377" s="1">
        <v>45603</v>
      </c>
      <c r="B377" t="s">
        <v>243</v>
      </c>
      <c r="C377" s="2">
        <v>12.7</v>
      </c>
      <c r="D377" t="s">
        <v>22</v>
      </c>
    </row>
    <row r="378" spans="1:4" x14ac:dyDescent="0.25">
      <c r="A378" s="1">
        <v>45603</v>
      </c>
      <c r="B378" t="s">
        <v>131</v>
      </c>
      <c r="C378" s="2">
        <v>4.6900000000000004</v>
      </c>
      <c r="D378" t="s">
        <v>22</v>
      </c>
    </row>
    <row r="379" spans="1:4" x14ac:dyDescent="0.25">
      <c r="A379" s="1">
        <v>45603</v>
      </c>
      <c r="B379" t="s">
        <v>49</v>
      </c>
      <c r="C379" s="2">
        <v>7.6</v>
      </c>
      <c r="D379" t="s">
        <v>22</v>
      </c>
    </row>
    <row r="380" spans="1:4" x14ac:dyDescent="0.25">
      <c r="A380" s="1">
        <v>45603</v>
      </c>
      <c r="B380" t="s">
        <v>160</v>
      </c>
      <c r="C380" s="2">
        <v>2.65</v>
      </c>
      <c r="D380" t="s">
        <v>22</v>
      </c>
    </row>
    <row r="381" spans="1:4" x14ac:dyDescent="0.25">
      <c r="A381" s="1">
        <v>45603</v>
      </c>
      <c r="B381" t="s">
        <v>160</v>
      </c>
      <c r="C381" s="2">
        <v>2.65</v>
      </c>
      <c r="D381" t="s">
        <v>22</v>
      </c>
    </row>
    <row r="382" spans="1:4" x14ac:dyDescent="0.25">
      <c r="A382" s="1">
        <v>45603</v>
      </c>
      <c r="B382" t="s">
        <v>222</v>
      </c>
      <c r="C382" s="2">
        <v>3.4</v>
      </c>
      <c r="D382" t="s">
        <v>22</v>
      </c>
    </row>
    <row r="383" spans="1:4" x14ac:dyDescent="0.25">
      <c r="A383" s="1">
        <v>45603</v>
      </c>
      <c r="B383" t="s">
        <v>226</v>
      </c>
      <c r="C383" s="2">
        <v>10.3</v>
      </c>
      <c r="D383" t="s">
        <v>22</v>
      </c>
    </row>
    <row r="384" spans="1:4" x14ac:dyDescent="0.25">
      <c r="A384" s="1">
        <v>45603</v>
      </c>
      <c r="B384" t="s">
        <v>172</v>
      </c>
      <c r="C384" s="2">
        <v>3.25</v>
      </c>
      <c r="D384" t="s">
        <v>22</v>
      </c>
    </row>
    <row r="385" spans="1:4" x14ac:dyDescent="0.25">
      <c r="A385" s="1">
        <v>45603</v>
      </c>
      <c r="B385" t="s">
        <v>208</v>
      </c>
      <c r="C385" s="2">
        <v>9.3000000000000007</v>
      </c>
      <c r="D385" t="s">
        <v>22</v>
      </c>
    </row>
    <row r="386" spans="1:4" x14ac:dyDescent="0.25">
      <c r="A386" s="1">
        <v>45603</v>
      </c>
      <c r="B386" t="s">
        <v>108</v>
      </c>
      <c r="C386" s="2">
        <v>0.94</v>
      </c>
      <c r="D386" t="s">
        <v>22</v>
      </c>
    </row>
    <row r="387" spans="1:4" x14ac:dyDescent="0.25">
      <c r="A387" s="1">
        <v>45603</v>
      </c>
      <c r="B387" t="s">
        <v>244</v>
      </c>
      <c r="C387" s="2">
        <v>1.2</v>
      </c>
      <c r="D387" t="s">
        <v>22</v>
      </c>
    </row>
    <row r="388" spans="1:4" x14ac:dyDescent="0.25">
      <c r="A388" s="1">
        <v>45603</v>
      </c>
      <c r="B388" t="s">
        <v>167</v>
      </c>
      <c r="C388" s="2">
        <v>4.3</v>
      </c>
      <c r="D388" t="s">
        <v>22</v>
      </c>
    </row>
    <row r="389" spans="1:4" x14ac:dyDescent="0.25">
      <c r="A389" s="1">
        <v>45603</v>
      </c>
      <c r="B389" t="s">
        <v>134</v>
      </c>
      <c r="C389" s="2">
        <v>4.25</v>
      </c>
      <c r="D389" t="s">
        <v>22</v>
      </c>
    </row>
    <row r="390" spans="1:4" x14ac:dyDescent="0.25">
      <c r="A390" s="1">
        <v>45606</v>
      </c>
      <c r="B390" t="s">
        <v>245</v>
      </c>
      <c r="C390" s="2">
        <v>7.5</v>
      </c>
      <c r="D390" t="s">
        <v>22</v>
      </c>
    </row>
    <row r="391" spans="1:4" x14ac:dyDescent="0.25">
      <c r="A391" s="1">
        <v>45606</v>
      </c>
      <c r="B391" t="s">
        <v>246</v>
      </c>
      <c r="C391" s="2">
        <v>14.5</v>
      </c>
      <c r="D391" t="s">
        <v>22</v>
      </c>
    </row>
    <row r="392" spans="1:4" x14ac:dyDescent="0.25">
      <c r="A392" s="1">
        <v>45611</v>
      </c>
      <c r="B392" t="s">
        <v>216</v>
      </c>
      <c r="C392" s="2">
        <v>13.7</v>
      </c>
      <c r="D392" t="s">
        <v>22</v>
      </c>
    </row>
    <row r="393" spans="1:4" x14ac:dyDescent="0.25">
      <c r="A393" s="1">
        <v>45611</v>
      </c>
      <c r="B393" t="s">
        <v>247</v>
      </c>
      <c r="C393" s="2">
        <v>9.4</v>
      </c>
      <c r="D393" t="s">
        <v>22</v>
      </c>
    </row>
    <row r="394" spans="1:4" x14ac:dyDescent="0.25">
      <c r="A394" s="1">
        <v>45611</v>
      </c>
      <c r="B394" t="s">
        <v>160</v>
      </c>
      <c r="C394" s="2">
        <v>2.65</v>
      </c>
      <c r="D394" t="s">
        <v>22</v>
      </c>
    </row>
    <row r="395" spans="1:4" x14ac:dyDescent="0.25">
      <c r="A395" s="1">
        <v>45611</v>
      </c>
      <c r="B395" t="s">
        <v>160</v>
      </c>
      <c r="C395" s="2">
        <v>2.65</v>
      </c>
      <c r="D395" t="s">
        <v>22</v>
      </c>
    </row>
    <row r="396" spans="1:4" x14ac:dyDescent="0.25">
      <c r="A396" s="1">
        <v>45611</v>
      </c>
      <c r="B396" t="s">
        <v>248</v>
      </c>
      <c r="C396" s="2">
        <v>5.9</v>
      </c>
      <c r="D396" t="s">
        <v>22</v>
      </c>
    </row>
    <row r="397" spans="1:4" x14ac:dyDescent="0.25">
      <c r="A397" s="1">
        <v>45611</v>
      </c>
      <c r="B397" t="s">
        <v>248</v>
      </c>
      <c r="C397" s="2">
        <v>5.9</v>
      </c>
      <c r="D397" t="s">
        <v>22</v>
      </c>
    </row>
    <row r="398" spans="1:4" x14ac:dyDescent="0.25">
      <c r="A398" s="1">
        <v>45611</v>
      </c>
      <c r="B398" t="s">
        <v>249</v>
      </c>
      <c r="C398" s="2">
        <v>4.25</v>
      </c>
      <c r="D398" t="s">
        <v>22</v>
      </c>
    </row>
    <row r="399" spans="1:4" x14ac:dyDescent="0.25">
      <c r="A399" s="1">
        <v>45611</v>
      </c>
      <c r="B399" t="s">
        <v>212</v>
      </c>
      <c r="C399" s="2">
        <v>4.3</v>
      </c>
      <c r="D399" t="s">
        <v>22</v>
      </c>
    </row>
    <row r="400" spans="1:4" x14ac:dyDescent="0.25">
      <c r="A400" s="1">
        <v>45620</v>
      </c>
      <c r="B400" t="s">
        <v>40</v>
      </c>
      <c r="C400" s="2">
        <v>7.5</v>
      </c>
      <c r="D400" t="s">
        <v>22</v>
      </c>
    </row>
    <row r="401" spans="1:4" x14ac:dyDescent="0.25">
      <c r="A401" s="1">
        <v>45620</v>
      </c>
      <c r="B401" t="s">
        <v>250</v>
      </c>
      <c r="C401" s="2">
        <v>11.57</v>
      </c>
      <c r="D401" t="s">
        <v>22</v>
      </c>
    </row>
    <row r="402" spans="1:4" x14ac:dyDescent="0.25">
      <c r="A402" s="1">
        <v>45620</v>
      </c>
      <c r="B402" t="s">
        <v>251</v>
      </c>
      <c r="C402" s="2">
        <v>7.6</v>
      </c>
      <c r="D402" t="s">
        <v>22</v>
      </c>
    </row>
    <row r="403" spans="1:4" x14ac:dyDescent="0.25">
      <c r="A403" s="1">
        <v>45620</v>
      </c>
      <c r="B403" t="s">
        <v>180</v>
      </c>
      <c r="C403" s="2">
        <v>0.28999999999999998</v>
      </c>
      <c r="D403" t="s">
        <v>22</v>
      </c>
    </row>
    <row r="404" spans="1:4" x14ac:dyDescent="0.25">
      <c r="A404" s="1">
        <v>45620</v>
      </c>
      <c r="B404" t="s">
        <v>131</v>
      </c>
      <c r="C404" s="2">
        <v>4.9000000000000004</v>
      </c>
      <c r="D404" t="s">
        <v>22</v>
      </c>
    </row>
    <row r="405" spans="1:4" x14ac:dyDescent="0.25">
      <c r="A405" s="1">
        <v>45620</v>
      </c>
      <c r="B405" t="s">
        <v>252</v>
      </c>
      <c r="C405" s="2">
        <v>5.6</v>
      </c>
      <c r="D405" t="s">
        <v>22</v>
      </c>
    </row>
    <row r="406" spans="1:4" x14ac:dyDescent="0.25">
      <c r="A406" s="1">
        <v>45620</v>
      </c>
      <c r="B406" t="s">
        <v>253</v>
      </c>
      <c r="C406" s="2">
        <v>22.9</v>
      </c>
      <c r="D406" t="s">
        <v>22</v>
      </c>
    </row>
    <row r="407" spans="1:4" x14ac:dyDescent="0.25">
      <c r="A407" s="1">
        <v>45620</v>
      </c>
      <c r="B407" t="s">
        <v>160</v>
      </c>
      <c r="C407" s="2">
        <v>2.65</v>
      </c>
      <c r="D407" t="s">
        <v>22</v>
      </c>
    </row>
    <row r="408" spans="1:4" x14ac:dyDescent="0.25">
      <c r="A408" s="1">
        <v>45620</v>
      </c>
      <c r="B408" t="s">
        <v>160</v>
      </c>
      <c r="C408" s="2">
        <v>2.65</v>
      </c>
      <c r="D408" t="s">
        <v>22</v>
      </c>
    </row>
    <row r="409" spans="1:4" x14ac:dyDescent="0.25">
      <c r="A409" s="1">
        <v>45620</v>
      </c>
      <c r="B409" t="s">
        <v>134</v>
      </c>
      <c r="C409" s="2">
        <v>4.25</v>
      </c>
      <c r="D409" t="s">
        <v>22</v>
      </c>
    </row>
    <row r="410" spans="1:4" x14ac:dyDescent="0.25">
      <c r="A410" s="1">
        <v>45620</v>
      </c>
      <c r="B410" t="s">
        <v>207</v>
      </c>
      <c r="C410" s="2">
        <v>4.3</v>
      </c>
      <c r="D410" t="s">
        <v>22</v>
      </c>
    </row>
    <row r="411" spans="1:4" x14ac:dyDescent="0.25">
      <c r="A411" s="1">
        <v>45620</v>
      </c>
      <c r="B411" t="s">
        <v>244</v>
      </c>
      <c r="C411" s="2">
        <v>1.57</v>
      </c>
      <c r="D411" t="s">
        <v>22</v>
      </c>
    </row>
    <row r="412" spans="1:4" x14ac:dyDescent="0.25">
      <c r="A412" s="1">
        <v>45620</v>
      </c>
      <c r="B412" t="s">
        <v>254</v>
      </c>
      <c r="C412" s="2">
        <v>36.5</v>
      </c>
      <c r="D412" t="s">
        <v>22</v>
      </c>
    </row>
    <row r="413" spans="1:4" x14ac:dyDescent="0.25">
      <c r="A413" s="1">
        <v>45620</v>
      </c>
      <c r="B413" t="s">
        <v>104</v>
      </c>
      <c r="C413" s="2">
        <v>12.5</v>
      </c>
      <c r="D413" t="s">
        <v>22</v>
      </c>
    </row>
    <row r="414" spans="1:4" x14ac:dyDescent="0.25">
      <c r="A414" s="1">
        <v>45627</v>
      </c>
      <c r="B414" t="s">
        <v>216</v>
      </c>
      <c r="C414" s="2">
        <v>13.7</v>
      </c>
      <c r="D414" t="s">
        <v>22</v>
      </c>
    </row>
    <row r="415" spans="1:4" x14ac:dyDescent="0.25">
      <c r="A415" s="1">
        <v>45627</v>
      </c>
      <c r="B415" t="s">
        <v>249</v>
      </c>
      <c r="C415" s="2">
        <v>4.25</v>
      </c>
      <c r="D415" t="s">
        <v>22</v>
      </c>
    </row>
    <row r="416" spans="1:4" x14ac:dyDescent="0.25">
      <c r="A416" s="1">
        <v>45627</v>
      </c>
      <c r="B416" t="s">
        <v>256</v>
      </c>
      <c r="C416" s="2">
        <v>6.96</v>
      </c>
      <c r="D416" t="s">
        <v>22</v>
      </c>
    </row>
    <row r="417" spans="1:4" x14ac:dyDescent="0.25">
      <c r="A417" s="1">
        <v>45627</v>
      </c>
      <c r="B417" t="s">
        <v>256</v>
      </c>
      <c r="C417" s="2">
        <v>8.6</v>
      </c>
      <c r="D417" t="s">
        <v>22</v>
      </c>
    </row>
    <row r="418" spans="1:4" x14ac:dyDescent="0.25">
      <c r="A418" s="1">
        <v>45627</v>
      </c>
      <c r="B418" t="s">
        <v>160</v>
      </c>
      <c r="C418" s="2">
        <v>2.65</v>
      </c>
      <c r="D418" t="s">
        <v>22</v>
      </c>
    </row>
    <row r="419" spans="1:4" x14ac:dyDescent="0.25">
      <c r="A419" s="1">
        <v>45627</v>
      </c>
      <c r="B419" t="s">
        <v>257</v>
      </c>
      <c r="C419" s="2">
        <v>17.899999999999999</v>
      </c>
      <c r="D419" t="s">
        <v>22</v>
      </c>
    </row>
    <row r="420" spans="1:4" x14ac:dyDescent="0.25">
      <c r="A420" s="1">
        <v>45633</v>
      </c>
      <c r="B420" t="s">
        <v>258</v>
      </c>
      <c r="C420" s="2">
        <v>7.7</v>
      </c>
      <c r="D420" t="s">
        <v>22</v>
      </c>
    </row>
    <row r="421" spans="1:4" x14ac:dyDescent="0.25">
      <c r="A421" s="1">
        <v>45633</v>
      </c>
      <c r="B421" t="s">
        <v>259</v>
      </c>
      <c r="C421" s="2">
        <v>5.74</v>
      </c>
      <c r="D421" t="s">
        <v>22</v>
      </c>
    </row>
    <row r="422" spans="1:4" x14ac:dyDescent="0.25">
      <c r="A422" s="1">
        <v>45633</v>
      </c>
      <c r="B422" t="s">
        <v>260</v>
      </c>
      <c r="C422" s="2">
        <v>19.899999999999999</v>
      </c>
      <c r="D422" t="s">
        <v>22</v>
      </c>
    </row>
    <row r="423" spans="1:4" x14ac:dyDescent="0.25">
      <c r="A423" s="1">
        <v>45633</v>
      </c>
      <c r="B423" t="s">
        <v>247</v>
      </c>
      <c r="C423" s="2">
        <v>9.4</v>
      </c>
      <c r="D423" t="s">
        <v>22</v>
      </c>
    </row>
    <row r="424" spans="1:4" x14ac:dyDescent="0.25">
      <c r="A424" s="1">
        <v>45633</v>
      </c>
      <c r="B424" t="s">
        <v>261</v>
      </c>
      <c r="C424" s="2">
        <v>11.2</v>
      </c>
      <c r="D424" t="s">
        <v>22</v>
      </c>
    </row>
    <row r="425" spans="1:4" x14ac:dyDescent="0.25">
      <c r="A425" s="1">
        <v>45633</v>
      </c>
      <c r="B425" t="s">
        <v>244</v>
      </c>
      <c r="C425" s="2">
        <v>3.14</v>
      </c>
      <c r="D425" t="s">
        <v>22</v>
      </c>
    </row>
    <row r="426" spans="1:4" x14ac:dyDescent="0.25">
      <c r="A426" s="1">
        <v>45633</v>
      </c>
      <c r="B426" t="s">
        <v>134</v>
      </c>
      <c r="C426" s="2">
        <v>4.4000000000000004</v>
      </c>
      <c r="D426" t="s">
        <v>22</v>
      </c>
    </row>
    <row r="427" spans="1:4" x14ac:dyDescent="0.25">
      <c r="A427" s="1">
        <v>45636</v>
      </c>
      <c r="B427" t="s">
        <v>216</v>
      </c>
      <c r="C427" s="2">
        <v>15.9</v>
      </c>
      <c r="D427" t="s">
        <v>22</v>
      </c>
    </row>
    <row r="428" spans="1:4" x14ac:dyDescent="0.25">
      <c r="A428" s="1">
        <v>45636</v>
      </c>
      <c r="B428" t="s">
        <v>131</v>
      </c>
      <c r="C428" s="2">
        <v>3.19</v>
      </c>
      <c r="D428" t="s">
        <v>22</v>
      </c>
    </row>
    <row r="429" spans="1:4" x14ac:dyDescent="0.25">
      <c r="A429" s="1">
        <v>45636</v>
      </c>
      <c r="B429" t="s">
        <v>74</v>
      </c>
      <c r="C429" s="2">
        <v>0.8</v>
      </c>
      <c r="D429" t="s">
        <v>22</v>
      </c>
    </row>
    <row r="430" spans="1:4" x14ac:dyDescent="0.25">
      <c r="A430" s="1">
        <v>45636</v>
      </c>
      <c r="B430" t="s">
        <v>211</v>
      </c>
      <c r="C430" s="2">
        <v>8.5500000000000007</v>
      </c>
      <c r="D430" t="s">
        <v>22</v>
      </c>
    </row>
    <row r="431" spans="1:4" x14ac:dyDescent="0.25">
      <c r="A431" s="1">
        <v>45636</v>
      </c>
      <c r="B431" t="s">
        <v>160</v>
      </c>
      <c r="C431" s="2">
        <v>2.65</v>
      </c>
      <c r="D431" t="s">
        <v>22</v>
      </c>
    </row>
    <row r="432" spans="1:4" x14ac:dyDescent="0.25">
      <c r="A432" s="1">
        <v>45636</v>
      </c>
      <c r="B432" t="s">
        <v>134</v>
      </c>
      <c r="C432" s="2">
        <v>4.4000000000000004</v>
      </c>
      <c r="D432" t="s">
        <v>22</v>
      </c>
    </row>
    <row r="433" spans="1:4" x14ac:dyDescent="0.25">
      <c r="A433" s="1">
        <v>45640</v>
      </c>
      <c r="B433" t="s">
        <v>88</v>
      </c>
      <c r="C433" s="2">
        <v>5.3</v>
      </c>
      <c r="D433" t="s">
        <v>22</v>
      </c>
    </row>
    <row r="434" spans="1:4" x14ac:dyDescent="0.25">
      <c r="A434" s="1">
        <v>45640</v>
      </c>
      <c r="B434" t="s">
        <v>88</v>
      </c>
      <c r="C434" s="2">
        <v>5.3</v>
      </c>
      <c r="D434" t="s">
        <v>22</v>
      </c>
    </row>
    <row r="435" spans="1:4" x14ac:dyDescent="0.25">
      <c r="A435" s="1">
        <v>45640</v>
      </c>
      <c r="B435" t="s">
        <v>262</v>
      </c>
      <c r="C435" s="2">
        <v>9.1999999999999993</v>
      </c>
      <c r="D435" t="s">
        <v>22</v>
      </c>
    </row>
    <row r="436" spans="1:4" x14ac:dyDescent="0.25">
      <c r="A436" s="1">
        <v>45640</v>
      </c>
      <c r="B436" t="s">
        <v>263</v>
      </c>
      <c r="C436" s="2">
        <v>7.8</v>
      </c>
      <c r="D436" t="s">
        <v>22</v>
      </c>
    </row>
    <row r="437" spans="1:4" x14ac:dyDescent="0.25">
      <c r="A437" s="1">
        <v>45640</v>
      </c>
      <c r="B437" t="s">
        <v>264</v>
      </c>
      <c r="C437" s="2">
        <v>4.7</v>
      </c>
      <c r="D437" t="s">
        <v>22</v>
      </c>
    </row>
    <row r="438" spans="1:4" x14ac:dyDescent="0.25">
      <c r="A438" s="1">
        <v>45640</v>
      </c>
      <c r="B438" t="s">
        <v>265</v>
      </c>
      <c r="C438" s="2">
        <v>8.4</v>
      </c>
      <c r="D438" t="s">
        <v>22</v>
      </c>
    </row>
    <row r="439" spans="1:4" x14ac:dyDescent="0.25">
      <c r="A439" s="1">
        <v>45640</v>
      </c>
      <c r="B439" t="s">
        <v>106</v>
      </c>
      <c r="C439" s="2">
        <v>4.7</v>
      </c>
      <c r="D439" t="s">
        <v>22</v>
      </c>
    </row>
    <row r="440" spans="1:4" x14ac:dyDescent="0.25">
      <c r="A440" s="1">
        <v>45640</v>
      </c>
      <c r="B440" t="s">
        <v>212</v>
      </c>
      <c r="C440" s="2">
        <v>4.3</v>
      </c>
      <c r="D440" t="s">
        <v>22</v>
      </c>
    </row>
    <row r="441" spans="1:4" x14ac:dyDescent="0.25">
      <c r="A441" s="1">
        <v>45648</v>
      </c>
      <c r="B441" t="s">
        <v>216</v>
      </c>
      <c r="C441" s="2">
        <v>14.49</v>
      </c>
      <c r="D441" t="s">
        <v>9</v>
      </c>
    </row>
    <row r="442" spans="1:4" x14ac:dyDescent="0.25">
      <c r="A442" s="1">
        <v>45648</v>
      </c>
      <c r="B442" t="s">
        <v>267</v>
      </c>
      <c r="C442" s="2">
        <v>10.99</v>
      </c>
      <c r="D442" t="s">
        <v>9</v>
      </c>
    </row>
    <row r="443" spans="1:4" x14ac:dyDescent="0.25">
      <c r="A443" s="1">
        <v>45648</v>
      </c>
      <c r="B443" t="s">
        <v>230</v>
      </c>
      <c r="C443" s="2">
        <v>4.38</v>
      </c>
      <c r="D443" t="s">
        <v>9</v>
      </c>
    </row>
    <row r="444" spans="1:4" x14ac:dyDescent="0.25">
      <c r="A444" s="1">
        <v>45648</v>
      </c>
      <c r="B444" t="s">
        <v>160</v>
      </c>
      <c r="C444" s="2">
        <v>2.5</v>
      </c>
      <c r="D444" t="s">
        <v>9</v>
      </c>
    </row>
    <row r="445" spans="1:4" x14ac:dyDescent="0.25">
      <c r="A445" s="1">
        <v>45648</v>
      </c>
      <c r="B445" t="s">
        <v>160</v>
      </c>
      <c r="C445" s="2">
        <v>2.5</v>
      </c>
      <c r="D445" t="s">
        <v>9</v>
      </c>
    </row>
    <row r="446" spans="1:4" x14ac:dyDescent="0.25">
      <c r="A446" s="1">
        <v>45648</v>
      </c>
      <c r="B446" t="s">
        <v>212</v>
      </c>
      <c r="C446" s="2">
        <v>4.3</v>
      </c>
      <c r="D446" t="s">
        <v>9</v>
      </c>
    </row>
    <row r="447" spans="1:4" x14ac:dyDescent="0.25">
      <c r="A447" s="1">
        <v>45648</v>
      </c>
      <c r="B447" t="s">
        <v>268</v>
      </c>
      <c r="C447" s="2">
        <v>7.4</v>
      </c>
      <c r="D447" t="s">
        <v>9</v>
      </c>
    </row>
    <row r="448" spans="1:4" x14ac:dyDescent="0.25">
      <c r="A448" s="1">
        <v>45648</v>
      </c>
      <c r="B448" t="s">
        <v>40</v>
      </c>
      <c r="C448" s="2">
        <v>7.5</v>
      </c>
      <c r="D448" t="s">
        <v>9</v>
      </c>
    </row>
    <row r="449" spans="1:4" x14ac:dyDescent="0.25">
      <c r="A449" s="1">
        <v>45648</v>
      </c>
      <c r="B449" t="s">
        <v>269</v>
      </c>
      <c r="C449" s="2">
        <v>4.38</v>
      </c>
      <c r="D449" t="s">
        <v>9</v>
      </c>
    </row>
    <row r="450" spans="1:4" x14ac:dyDescent="0.25">
      <c r="A450" s="1">
        <v>45648</v>
      </c>
      <c r="B450" t="s">
        <v>270</v>
      </c>
      <c r="C450" s="2">
        <v>7.2</v>
      </c>
      <c r="D450" t="s">
        <v>9</v>
      </c>
    </row>
    <row r="451" spans="1:4" x14ac:dyDescent="0.25">
      <c r="A451" s="1">
        <v>45648</v>
      </c>
      <c r="B451" t="s">
        <v>105</v>
      </c>
      <c r="C451" s="2">
        <v>3.25</v>
      </c>
      <c r="D451" t="s">
        <v>9</v>
      </c>
    </row>
    <row r="452" spans="1:4" x14ac:dyDescent="0.25">
      <c r="A452" s="1">
        <v>45648</v>
      </c>
      <c r="B452" t="s">
        <v>105</v>
      </c>
      <c r="C452" s="2">
        <v>3.25</v>
      </c>
      <c r="D452" t="s">
        <v>9</v>
      </c>
    </row>
    <row r="453" spans="1:4" x14ac:dyDescent="0.25">
      <c r="A453" s="1">
        <v>45648</v>
      </c>
      <c r="B453" t="s">
        <v>105</v>
      </c>
      <c r="C453" s="2">
        <v>3.25</v>
      </c>
      <c r="D453" t="s">
        <v>9</v>
      </c>
    </row>
    <row r="454" spans="1:4" x14ac:dyDescent="0.25">
      <c r="A454" s="1">
        <v>45648</v>
      </c>
      <c r="B454" t="s">
        <v>271</v>
      </c>
      <c r="C454" s="2">
        <v>10.5</v>
      </c>
      <c r="D454" t="s">
        <v>22</v>
      </c>
    </row>
    <row r="455" spans="1:4" x14ac:dyDescent="0.25">
      <c r="A455" s="1">
        <v>45648</v>
      </c>
      <c r="B455" t="s">
        <v>272</v>
      </c>
      <c r="C455" s="2">
        <v>7.78</v>
      </c>
      <c r="D455" t="s">
        <v>22</v>
      </c>
    </row>
    <row r="456" spans="1:4" x14ac:dyDescent="0.25">
      <c r="A456" s="1">
        <v>45648</v>
      </c>
      <c r="B456" t="s">
        <v>272</v>
      </c>
      <c r="C456" s="2">
        <v>6.6</v>
      </c>
      <c r="D456" t="s">
        <v>22</v>
      </c>
    </row>
    <row r="457" spans="1:4" x14ac:dyDescent="0.25">
      <c r="A457" s="1">
        <v>45648</v>
      </c>
      <c r="B457" t="s">
        <v>131</v>
      </c>
      <c r="C457" s="2">
        <v>3.57</v>
      </c>
      <c r="D457" t="s">
        <v>22</v>
      </c>
    </row>
    <row r="458" spans="1:4" x14ac:dyDescent="0.25">
      <c r="A458" s="1">
        <v>45648</v>
      </c>
      <c r="B458" t="s">
        <v>76</v>
      </c>
      <c r="C458" s="2">
        <v>0.64</v>
      </c>
      <c r="D458" t="s">
        <v>22</v>
      </c>
    </row>
    <row r="459" spans="1:4" x14ac:dyDescent="0.25">
      <c r="A459" s="1">
        <v>45648</v>
      </c>
      <c r="B459" t="s">
        <v>273</v>
      </c>
      <c r="C459" s="2">
        <v>0.25</v>
      </c>
      <c r="D459" t="s">
        <v>22</v>
      </c>
    </row>
    <row r="460" spans="1:4" x14ac:dyDescent="0.25">
      <c r="A460" s="1">
        <v>45648</v>
      </c>
      <c r="B460" t="s">
        <v>244</v>
      </c>
      <c r="C460" s="2">
        <v>1.8</v>
      </c>
      <c r="D460" t="s">
        <v>22</v>
      </c>
    </row>
    <row r="461" spans="1:4" x14ac:dyDescent="0.25">
      <c r="A461" s="1">
        <v>45648</v>
      </c>
      <c r="B461" t="s">
        <v>274</v>
      </c>
      <c r="C461" s="2">
        <v>9.6</v>
      </c>
      <c r="D461" t="s">
        <v>22</v>
      </c>
    </row>
    <row r="462" spans="1:4" x14ac:dyDescent="0.25">
      <c r="A462" s="1">
        <v>45648</v>
      </c>
      <c r="B462" t="s">
        <v>275</v>
      </c>
      <c r="C462" s="2">
        <v>5.49</v>
      </c>
      <c r="D462" t="s">
        <v>22</v>
      </c>
    </row>
    <row r="463" spans="1:4" x14ac:dyDescent="0.25">
      <c r="A463" s="1">
        <v>45648</v>
      </c>
      <c r="B463" t="s">
        <v>106</v>
      </c>
      <c r="C463" s="2">
        <v>2.94</v>
      </c>
      <c r="D463" t="s">
        <v>22</v>
      </c>
    </row>
    <row r="464" spans="1:4" x14ac:dyDescent="0.25">
      <c r="A464" s="1">
        <v>45655</v>
      </c>
      <c r="B464" t="s">
        <v>147</v>
      </c>
      <c r="C464" s="2">
        <v>1.05</v>
      </c>
      <c r="D464" t="s">
        <v>22</v>
      </c>
    </row>
    <row r="465" spans="1:4" x14ac:dyDescent="0.25">
      <c r="A465" s="1">
        <v>45655</v>
      </c>
      <c r="B465" t="s">
        <v>140</v>
      </c>
      <c r="C465" s="2">
        <v>0.37</v>
      </c>
      <c r="D465" t="s">
        <v>22</v>
      </c>
    </row>
    <row r="466" spans="1:4" x14ac:dyDescent="0.25">
      <c r="A466" s="1">
        <v>45655</v>
      </c>
      <c r="B466" t="s">
        <v>131</v>
      </c>
      <c r="C466" s="2">
        <v>2.87</v>
      </c>
      <c r="D466" t="s">
        <v>22</v>
      </c>
    </row>
    <row r="467" spans="1:4" x14ac:dyDescent="0.25">
      <c r="A467" s="1">
        <v>45655</v>
      </c>
      <c r="B467" t="s">
        <v>112</v>
      </c>
      <c r="C467" s="2">
        <v>9.56</v>
      </c>
      <c r="D467" t="s">
        <v>22</v>
      </c>
    </row>
    <row r="468" spans="1:4" x14ac:dyDescent="0.25">
      <c r="A468" s="1">
        <v>45655</v>
      </c>
      <c r="B468" t="s">
        <v>276</v>
      </c>
      <c r="C468" s="2">
        <v>9.5</v>
      </c>
      <c r="D468" t="s">
        <v>22</v>
      </c>
    </row>
    <row r="469" spans="1:4" x14ac:dyDescent="0.25">
      <c r="A469" s="1">
        <v>45655</v>
      </c>
      <c r="B469" t="s">
        <v>277</v>
      </c>
      <c r="C469" s="2">
        <v>7</v>
      </c>
      <c r="D469" t="s">
        <v>22</v>
      </c>
    </row>
    <row r="470" spans="1:4" x14ac:dyDescent="0.25">
      <c r="A470" s="1">
        <v>45655</v>
      </c>
      <c r="B470" t="s">
        <v>278</v>
      </c>
      <c r="C470" s="2">
        <v>9.1</v>
      </c>
      <c r="D470" t="s">
        <v>22</v>
      </c>
    </row>
    <row r="471" spans="1:4" x14ac:dyDescent="0.25">
      <c r="A471" s="1">
        <v>45655</v>
      </c>
      <c r="B471" t="s">
        <v>134</v>
      </c>
      <c r="C471" s="2">
        <v>4.4000000000000004</v>
      </c>
      <c r="D471" t="s">
        <v>22</v>
      </c>
    </row>
    <row r="472" spans="1:4" x14ac:dyDescent="0.25">
      <c r="A472" s="1">
        <v>45655</v>
      </c>
      <c r="B472" t="s">
        <v>279</v>
      </c>
      <c r="C472" s="2">
        <v>2.6</v>
      </c>
      <c r="D472" t="s">
        <v>22</v>
      </c>
    </row>
    <row r="473" spans="1:4" x14ac:dyDescent="0.25">
      <c r="A473" s="1">
        <v>45658</v>
      </c>
      <c r="B473" t="s">
        <v>178</v>
      </c>
      <c r="C473" s="2">
        <v>7.6</v>
      </c>
      <c r="D473" t="s">
        <v>22</v>
      </c>
    </row>
    <row r="474" spans="1:4" x14ac:dyDescent="0.25">
      <c r="A474" s="1">
        <v>45658</v>
      </c>
      <c r="B474" t="s">
        <v>212</v>
      </c>
      <c r="C474" s="2">
        <v>4.3</v>
      </c>
      <c r="D474" t="s">
        <v>22</v>
      </c>
    </row>
    <row r="475" spans="1:4" x14ac:dyDescent="0.25">
      <c r="A475" s="1">
        <v>45658</v>
      </c>
      <c r="B475" t="s">
        <v>280</v>
      </c>
      <c r="C475" s="2">
        <v>6.3</v>
      </c>
      <c r="D475" t="s">
        <v>22</v>
      </c>
    </row>
    <row r="476" spans="1:4" x14ac:dyDescent="0.25">
      <c r="A476" s="1">
        <v>45662</v>
      </c>
      <c r="B476" t="s">
        <v>281</v>
      </c>
      <c r="C476" s="2">
        <v>19.899999999999999</v>
      </c>
      <c r="D476" t="s">
        <v>22</v>
      </c>
    </row>
    <row r="477" spans="1:4" x14ac:dyDescent="0.25">
      <c r="A477" s="1">
        <v>45662</v>
      </c>
      <c r="B477" t="s">
        <v>88</v>
      </c>
      <c r="C477" s="2">
        <v>5.3</v>
      </c>
      <c r="D477" t="s">
        <v>22</v>
      </c>
    </row>
    <row r="478" spans="1:4" x14ac:dyDescent="0.25">
      <c r="A478" s="1">
        <v>45662</v>
      </c>
      <c r="B478" t="s">
        <v>160</v>
      </c>
      <c r="C478" s="2">
        <v>2.65</v>
      </c>
      <c r="D478" t="s">
        <v>22</v>
      </c>
    </row>
    <row r="479" spans="1:4" x14ac:dyDescent="0.25">
      <c r="A479" s="1">
        <v>45662</v>
      </c>
      <c r="B479" t="s">
        <v>160</v>
      </c>
      <c r="C479" s="2">
        <v>2.65</v>
      </c>
      <c r="D479" t="s">
        <v>22</v>
      </c>
    </row>
    <row r="480" spans="1:4" x14ac:dyDescent="0.25">
      <c r="A480" s="1">
        <v>45662</v>
      </c>
      <c r="B480" t="s">
        <v>249</v>
      </c>
      <c r="C480" s="2">
        <v>4.4000000000000004</v>
      </c>
      <c r="D480" t="s">
        <v>22</v>
      </c>
    </row>
    <row r="481" spans="1:4" x14ac:dyDescent="0.25">
      <c r="A481" s="1">
        <v>45662</v>
      </c>
      <c r="B481" t="s">
        <v>282</v>
      </c>
      <c r="C481" s="2">
        <v>5.9</v>
      </c>
      <c r="D481" t="s">
        <v>283</v>
      </c>
    </row>
    <row r="482" spans="1:4" x14ac:dyDescent="0.25">
      <c r="A482" s="1">
        <v>45662</v>
      </c>
      <c r="B482" t="s">
        <v>282</v>
      </c>
      <c r="C482" s="2">
        <v>5.9</v>
      </c>
      <c r="D482" t="s">
        <v>283</v>
      </c>
    </row>
    <row r="483" spans="1:4" x14ac:dyDescent="0.25">
      <c r="A483" s="1">
        <v>45662</v>
      </c>
      <c r="B483" t="s">
        <v>284</v>
      </c>
      <c r="C483" s="2">
        <v>5.9</v>
      </c>
      <c r="D483" t="s">
        <v>283</v>
      </c>
    </row>
    <row r="484" spans="1:4" x14ac:dyDescent="0.25">
      <c r="A484" s="1">
        <v>45662</v>
      </c>
      <c r="B484" t="s">
        <v>285</v>
      </c>
      <c r="C484" s="2">
        <v>5</v>
      </c>
      <c r="D484" t="s">
        <v>283</v>
      </c>
    </row>
    <row r="485" spans="1:4" x14ac:dyDescent="0.25">
      <c r="A485" s="1">
        <v>45664</v>
      </c>
      <c r="B485" t="s">
        <v>286</v>
      </c>
      <c r="C485" s="2">
        <v>3.59</v>
      </c>
      <c r="D485" t="s">
        <v>22</v>
      </c>
    </row>
    <row r="486" spans="1:4" x14ac:dyDescent="0.25">
      <c r="A486" s="1">
        <v>45664</v>
      </c>
      <c r="B486" t="s">
        <v>265</v>
      </c>
      <c r="C486" s="2">
        <v>8.4</v>
      </c>
      <c r="D486" t="s">
        <v>22</v>
      </c>
    </row>
    <row r="487" spans="1:4" x14ac:dyDescent="0.25">
      <c r="A487" s="1">
        <v>45673</v>
      </c>
      <c r="B487" t="s">
        <v>287</v>
      </c>
      <c r="C487" s="2">
        <v>3.5</v>
      </c>
      <c r="D487" t="s">
        <v>22</v>
      </c>
    </row>
    <row r="488" spans="1:4" x14ac:dyDescent="0.25">
      <c r="A488" s="1">
        <v>45697</v>
      </c>
      <c r="B488" t="s">
        <v>40</v>
      </c>
      <c r="C488" s="2">
        <v>7.5</v>
      </c>
      <c r="D488" t="s">
        <v>22</v>
      </c>
    </row>
    <row r="489" spans="1:4" x14ac:dyDescent="0.25">
      <c r="A489" s="1">
        <v>45697</v>
      </c>
      <c r="B489" t="s">
        <v>212</v>
      </c>
      <c r="C489" s="2">
        <v>4.3</v>
      </c>
      <c r="D489" t="s">
        <v>22</v>
      </c>
    </row>
    <row r="490" spans="1:4" x14ac:dyDescent="0.25">
      <c r="A490" s="1">
        <v>45697</v>
      </c>
      <c r="B490" t="s">
        <v>88</v>
      </c>
      <c r="C490" s="2">
        <v>5.3</v>
      </c>
      <c r="D490" t="s">
        <v>22</v>
      </c>
    </row>
    <row r="491" spans="1:4" x14ac:dyDescent="0.25">
      <c r="A491" s="1">
        <v>45697</v>
      </c>
      <c r="B491" t="s">
        <v>188</v>
      </c>
      <c r="C491" s="2">
        <v>6.99</v>
      </c>
      <c r="D491" t="s">
        <v>22</v>
      </c>
    </row>
    <row r="492" spans="1:4" x14ac:dyDescent="0.25">
      <c r="A492" s="1">
        <v>45697</v>
      </c>
      <c r="B492" t="s">
        <v>76</v>
      </c>
      <c r="C492" s="2">
        <v>1.22</v>
      </c>
      <c r="D492" t="s">
        <v>22</v>
      </c>
    </row>
    <row r="493" spans="1:4" x14ac:dyDescent="0.25">
      <c r="A493" s="1">
        <v>45704</v>
      </c>
      <c r="B493" t="s">
        <v>288</v>
      </c>
      <c r="C493" s="2">
        <v>7.18</v>
      </c>
      <c r="D493" t="s">
        <v>22</v>
      </c>
    </row>
    <row r="494" spans="1:4" x14ac:dyDescent="0.25">
      <c r="A494" s="1">
        <v>45704</v>
      </c>
      <c r="B494" t="s">
        <v>289</v>
      </c>
      <c r="C494" s="2">
        <v>8.52</v>
      </c>
      <c r="D494" t="s">
        <v>22</v>
      </c>
    </row>
    <row r="495" spans="1:4" x14ac:dyDescent="0.25">
      <c r="A495" s="1">
        <v>45704</v>
      </c>
      <c r="B495" t="s">
        <v>290</v>
      </c>
      <c r="C495" s="2">
        <v>2.65</v>
      </c>
      <c r="D495" t="s">
        <v>22</v>
      </c>
    </row>
    <row r="496" spans="1:4" x14ac:dyDescent="0.25">
      <c r="A496" s="1">
        <v>45704</v>
      </c>
      <c r="B496" t="s">
        <v>290</v>
      </c>
      <c r="C496" s="2">
        <v>2.65</v>
      </c>
      <c r="D496" t="s">
        <v>22</v>
      </c>
    </row>
    <row r="497" spans="1:4" x14ac:dyDescent="0.25">
      <c r="A497" s="1">
        <v>45704</v>
      </c>
      <c r="B497" t="s">
        <v>106</v>
      </c>
      <c r="C497" s="2">
        <v>2.66</v>
      </c>
      <c r="D497" t="s">
        <v>22</v>
      </c>
    </row>
    <row r="498" spans="1:4" x14ac:dyDescent="0.25">
      <c r="A498" s="1">
        <v>45704</v>
      </c>
      <c r="B498" t="s">
        <v>244</v>
      </c>
      <c r="C498" s="2">
        <v>2.58</v>
      </c>
      <c r="D498" t="s">
        <v>22</v>
      </c>
    </row>
    <row r="499" spans="1:4" x14ac:dyDescent="0.25">
      <c r="A499" s="1">
        <v>45704</v>
      </c>
      <c r="B499" t="s">
        <v>134</v>
      </c>
      <c r="C499" s="2">
        <v>4.4000000000000004</v>
      </c>
      <c r="D499" t="s">
        <v>22</v>
      </c>
    </row>
    <row r="500" spans="1:4" x14ac:dyDescent="0.25">
      <c r="A500" s="1">
        <v>45704</v>
      </c>
      <c r="B500" t="s">
        <v>291</v>
      </c>
      <c r="C500" s="2">
        <v>3</v>
      </c>
      <c r="D500" t="s">
        <v>22</v>
      </c>
    </row>
    <row r="501" spans="1:4" x14ac:dyDescent="0.25">
      <c r="A501" s="1">
        <v>45704</v>
      </c>
      <c r="B501" t="s">
        <v>292</v>
      </c>
      <c r="C501" s="2">
        <v>4.8099999999999996</v>
      </c>
      <c r="D501" t="s">
        <v>22</v>
      </c>
    </row>
    <row r="502" spans="1:4" x14ac:dyDescent="0.25">
      <c r="A502" s="1">
        <v>45704</v>
      </c>
      <c r="B502" t="s">
        <v>78</v>
      </c>
      <c r="C502" s="2">
        <v>3</v>
      </c>
      <c r="D502" t="s">
        <v>22</v>
      </c>
    </row>
    <row r="503" spans="1:4" x14ac:dyDescent="0.25">
      <c r="A503" s="1">
        <v>45704</v>
      </c>
      <c r="B503" t="s">
        <v>140</v>
      </c>
      <c r="C503" s="2">
        <v>0.62</v>
      </c>
      <c r="D503" t="s">
        <v>22</v>
      </c>
    </row>
    <row r="504" spans="1:4" x14ac:dyDescent="0.25">
      <c r="A504" s="1">
        <v>45704</v>
      </c>
      <c r="B504" t="s">
        <v>293</v>
      </c>
      <c r="C504" s="2">
        <v>36.82</v>
      </c>
      <c r="D504" t="s">
        <v>22</v>
      </c>
    </row>
    <row r="505" spans="1:4" x14ac:dyDescent="0.25">
      <c r="A505" s="1">
        <v>45711</v>
      </c>
      <c r="B505" t="s">
        <v>216</v>
      </c>
      <c r="C505" s="2">
        <v>15.9</v>
      </c>
      <c r="D505" t="s">
        <v>22</v>
      </c>
    </row>
    <row r="506" spans="1:4" x14ac:dyDescent="0.25">
      <c r="A506" s="1">
        <v>45711</v>
      </c>
      <c r="B506" t="s">
        <v>290</v>
      </c>
      <c r="C506" s="2">
        <v>2.65</v>
      </c>
      <c r="D506" t="s">
        <v>22</v>
      </c>
    </row>
    <row r="507" spans="1:4" x14ac:dyDescent="0.25">
      <c r="A507" s="1">
        <v>45711</v>
      </c>
      <c r="B507" t="s">
        <v>295</v>
      </c>
      <c r="C507" s="2">
        <v>15.9</v>
      </c>
      <c r="D507" t="s">
        <v>22</v>
      </c>
    </row>
    <row r="508" spans="1:4" x14ac:dyDescent="0.25">
      <c r="A508" s="1">
        <v>45711</v>
      </c>
      <c r="B508" t="s">
        <v>296</v>
      </c>
      <c r="C508" s="2">
        <v>3</v>
      </c>
      <c r="D508" t="s">
        <v>22</v>
      </c>
    </row>
    <row r="509" spans="1:4" x14ac:dyDescent="0.25">
      <c r="A509" s="1">
        <v>45711</v>
      </c>
      <c r="B509" t="s">
        <v>230</v>
      </c>
      <c r="C509" s="2">
        <v>4.8499999999999996</v>
      </c>
      <c r="D509" t="s">
        <v>22</v>
      </c>
    </row>
    <row r="510" spans="1:4" x14ac:dyDescent="0.25">
      <c r="A510" s="1">
        <v>45711</v>
      </c>
      <c r="B510" t="s">
        <v>297</v>
      </c>
      <c r="C510" s="2">
        <v>7.9</v>
      </c>
      <c r="D510" t="s">
        <v>22</v>
      </c>
    </row>
    <row r="511" spans="1:4" x14ac:dyDescent="0.25">
      <c r="A511" s="1">
        <v>45711</v>
      </c>
      <c r="B511" t="s">
        <v>298</v>
      </c>
      <c r="C511" s="2">
        <v>2.5</v>
      </c>
      <c r="D511" t="s">
        <v>22</v>
      </c>
    </row>
    <row r="512" spans="1:4" x14ac:dyDescent="0.25">
      <c r="A512" s="1">
        <v>45711</v>
      </c>
      <c r="B512" t="s">
        <v>299</v>
      </c>
      <c r="C512" s="2">
        <v>11.5</v>
      </c>
      <c r="D512" t="s">
        <v>22</v>
      </c>
    </row>
    <row r="513" spans="1:4" x14ac:dyDescent="0.25">
      <c r="A513" s="1">
        <v>45711</v>
      </c>
      <c r="B513" t="s">
        <v>134</v>
      </c>
      <c r="C513" s="2">
        <v>4.4000000000000004</v>
      </c>
      <c r="D513" t="s">
        <v>22</v>
      </c>
    </row>
    <row r="514" spans="1:4" x14ac:dyDescent="0.25">
      <c r="A514" s="1">
        <v>45711</v>
      </c>
      <c r="B514" t="s">
        <v>300</v>
      </c>
      <c r="C514" s="2">
        <v>12.5</v>
      </c>
      <c r="D514" t="s">
        <v>22</v>
      </c>
    </row>
    <row r="515" spans="1:4" x14ac:dyDescent="0.25">
      <c r="A515" s="1">
        <v>45725</v>
      </c>
      <c r="B515" t="s">
        <v>301</v>
      </c>
      <c r="C515" s="2">
        <v>15.9</v>
      </c>
      <c r="D515" t="s">
        <v>22</v>
      </c>
    </row>
    <row r="516" spans="1:4" x14ac:dyDescent="0.25">
      <c r="A516" s="1">
        <v>45725</v>
      </c>
      <c r="B516" t="s">
        <v>249</v>
      </c>
      <c r="C516" s="2">
        <v>4.4000000000000004</v>
      </c>
      <c r="D516" t="s">
        <v>22</v>
      </c>
    </row>
    <row r="517" spans="1:4" x14ac:dyDescent="0.25">
      <c r="A517" s="1">
        <v>45725</v>
      </c>
      <c r="B517" t="s">
        <v>302</v>
      </c>
      <c r="C517" s="2">
        <v>7.49</v>
      </c>
      <c r="D517" t="s">
        <v>22</v>
      </c>
    </row>
    <row r="518" spans="1:4" x14ac:dyDescent="0.25">
      <c r="A518" s="1">
        <v>45725</v>
      </c>
      <c r="B518" t="s">
        <v>303</v>
      </c>
      <c r="C518" s="2">
        <v>5.2</v>
      </c>
      <c r="D518" t="s">
        <v>22</v>
      </c>
    </row>
    <row r="519" spans="1:4" x14ac:dyDescent="0.25">
      <c r="A519" s="1">
        <v>45725</v>
      </c>
      <c r="B519" t="s">
        <v>304</v>
      </c>
      <c r="C519" s="2">
        <v>11.5</v>
      </c>
      <c r="D519" t="s">
        <v>22</v>
      </c>
    </row>
    <row r="520" spans="1:4" x14ac:dyDescent="0.25">
      <c r="A520" s="1">
        <v>45725</v>
      </c>
      <c r="B520" t="s">
        <v>222</v>
      </c>
      <c r="C520" s="2">
        <v>2.9</v>
      </c>
      <c r="D520" t="s">
        <v>22</v>
      </c>
    </row>
    <row r="521" spans="1:4" x14ac:dyDescent="0.25">
      <c r="A521" s="1">
        <v>45725</v>
      </c>
      <c r="B521" t="s">
        <v>305</v>
      </c>
      <c r="C521" s="2">
        <v>2.94</v>
      </c>
      <c r="D521" t="s">
        <v>22</v>
      </c>
    </row>
    <row r="522" spans="1:4" x14ac:dyDescent="0.25">
      <c r="A522" s="1">
        <v>45725</v>
      </c>
      <c r="B522" t="s">
        <v>291</v>
      </c>
      <c r="C522" s="2">
        <v>3.24</v>
      </c>
      <c r="D522" t="s">
        <v>22</v>
      </c>
    </row>
    <row r="523" spans="1:4" x14ac:dyDescent="0.25">
      <c r="A523" s="1">
        <v>45725</v>
      </c>
      <c r="B523" t="s">
        <v>212</v>
      </c>
      <c r="C523" s="2">
        <v>4.3</v>
      </c>
      <c r="D523" t="s">
        <v>22</v>
      </c>
    </row>
    <row r="524" spans="1:4" x14ac:dyDescent="0.25">
      <c r="A524" s="1">
        <v>45742</v>
      </c>
      <c r="B524" t="s">
        <v>306</v>
      </c>
      <c r="C524" s="2">
        <v>5.45</v>
      </c>
      <c r="D524" t="s">
        <v>22</v>
      </c>
    </row>
    <row r="525" spans="1:4" x14ac:dyDescent="0.25">
      <c r="A525" s="1">
        <v>45742</v>
      </c>
      <c r="B525" t="s">
        <v>249</v>
      </c>
      <c r="C525" s="2">
        <v>4.4000000000000004</v>
      </c>
      <c r="D525" t="s">
        <v>22</v>
      </c>
    </row>
    <row r="526" spans="1:4" x14ac:dyDescent="0.25">
      <c r="A526" s="1">
        <v>45753</v>
      </c>
      <c r="B526" t="s">
        <v>307</v>
      </c>
      <c r="C526" s="2">
        <v>18.5</v>
      </c>
      <c r="D526" t="s">
        <v>22</v>
      </c>
    </row>
    <row r="527" spans="1:4" x14ac:dyDescent="0.25">
      <c r="A527" s="1">
        <v>45753</v>
      </c>
      <c r="B527" t="s">
        <v>308</v>
      </c>
      <c r="C527" s="2">
        <v>12.9</v>
      </c>
      <c r="D527" t="s">
        <v>22</v>
      </c>
    </row>
    <row r="528" spans="1:4" x14ac:dyDescent="0.25">
      <c r="A528" s="1">
        <v>45753</v>
      </c>
      <c r="B528" t="s">
        <v>309</v>
      </c>
      <c r="C528" s="2">
        <v>8</v>
      </c>
      <c r="D528" t="s">
        <v>22</v>
      </c>
    </row>
    <row r="529" spans="1:4" x14ac:dyDescent="0.25">
      <c r="A529" s="1">
        <v>45753</v>
      </c>
      <c r="B529" t="s">
        <v>310</v>
      </c>
      <c r="C529" s="2">
        <v>7.9</v>
      </c>
      <c r="D529" t="s">
        <v>22</v>
      </c>
    </row>
    <row r="530" spans="1:4" x14ac:dyDescent="0.25">
      <c r="A530" s="1">
        <v>45753</v>
      </c>
      <c r="B530" t="s">
        <v>187</v>
      </c>
      <c r="C530" s="2">
        <v>4.9000000000000004</v>
      </c>
      <c r="D530" t="s">
        <v>22</v>
      </c>
    </row>
    <row r="531" spans="1:4" x14ac:dyDescent="0.25">
      <c r="A531" s="1">
        <v>45757</v>
      </c>
      <c r="B531" t="s">
        <v>89</v>
      </c>
      <c r="C531" s="2">
        <v>0.2</v>
      </c>
      <c r="D531" t="s">
        <v>22</v>
      </c>
    </row>
    <row r="532" spans="1:4" x14ac:dyDescent="0.25">
      <c r="A532" s="1">
        <v>45757</v>
      </c>
      <c r="B532" t="s">
        <v>311</v>
      </c>
      <c r="C532" s="2">
        <v>4.4000000000000004</v>
      </c>
      <c r="D532" t="s">
        <v>22</v>
      </c>
    </row>
    <row r="533" spans="1:4" x14ac:dyDescent="0.25">
      <c r="A533" s="1">
        <v>45757</v>
      </c>
      <c r="B533" t="s">
        <v>247</v>
      </c>
      <c r="C533" s="2">
        <v>9.4</v>
      </c>
      <c r="D533" t="s">
        <v>22</v>
      </c>
    </row>
    <row r="534" spans="1:4" x14ac:dyDescent="0.25">
      <c r="A534" s="1">
        <v>45757</v>
      </c>
      <c r="B534" t="s">
        <v>40</v>
      </c>
      <c r="C534" s="2">
        <v>7.5</v>
      </c>
      <c r="D534" t="s">
        <v>22</v>
      </c>
    </row>
    <row r="535" spans="1:4" x14ac:dyDescent="0.25">
      <c r="A535" s="1">
        <v>45757</v>
      </c>
      <c r="B535" t="s">
        <v>188</v>
      </c>
      <c r="C535" s="2">
        <v>7.7</v>
      </c>
      <c r="D535" t="s">
        <v>22</v>
      </c>
    </row>
    <row r="536" spans="1:4" x14ac:dyDescent="0.25">
      <c r="A536" s="1">
        <v>45757</v>
      </c>
      <c r="B536" t="s">
        <v>312</v>
      </c>
      <c r="C536" s="2">
        <v>4.57</v>
      </c>
      <c r="D536" t="s">
        <v>22</v>
      </c>
    </row>
    <row r="537" spans="1:4" x14ac:dyDescent="0.25">
      <c r="A537" s="1">
        <v>45757</v>
      </c>
      <c r="B537" t="s">
        <v>71</v>
      </c>
      <c r="C537" s="2">
        <v>3.35</v>
      </c>
      <c r="D537" t="s">
        <v>22</v>
      </c>
    </row>
    <row r="538" spans="1:4" x14ac:dyDescent="0.25">
      <c r="A538" s="1">
        <v>45757</v>
      </c>
      <c r="B538" t="s">
        <v>306</v>
      </c>
      <c r="C538" s="2">
        <v>5.45</v>
      </c>
      <c r="D538" t="s">
        <v>22</v>
      </c>
    </row>
    <row r="539" spans="1:4" x14ac:dyDescent="0.25">
      <c r="A539" s="1">
        <v>45759</v>
      </c>
      <c r="B539" t="s">
        <v>313</v>
      </c>
      <c r="C539" s="2">
        <v>7.99</v>
      </c>
      <c r="D539" t="s">
        <v>314</v>
      </c>
    </row>
    <row r="540" spans="1:4" x14ac:dyDescent="0.25">
      <c r="A540" s="1">
        <v>45759</v>
      </c>
      <c r="B540" t="s">
        <v>306</v>
      </c>
      <c r="C540" s="2">
        <v>5.5</v>
      </c>
      <c r="D540" t="s">
        <v>314</v>
      </c>
    </row>
    <row r="541" spans="1:4" x14ac:dyDescent="0.25">
      <c r="A541" s="1">
        <v>45759</v>
      </c>
      <c r="B541" t="s">
        <v>315</v>
      </c>
      <c r="C541" s="2">
        <v>4.5999999999999996</v>
      </c>
      <c r="D541" t="s">
        <v>314</v>
      </c>
    </row>
    <row r="542" spans="1:4" x14ac:dyDescent="0.25">
      <c r="A542" s="1">
        <v>45759</v>
      </c>
      <c r="B542" t="s">
        <v>316</v>
      </c>
      <c r="C542" s="2">
        <v>2.4</v>
      </c>
      <c r="D542" t="s">
        <v>314</v>
      </c>
    </row>
    <row r="543" spans="1:4" x14ac:dyDescent="0.25">
      <c r="A543" s="1">
        <v>45764</v>
      </c>
      <c r="B543" t="s">
        <v>317</v>
      </c>
      <c r="C543" s="2">
        <v>10.119999999999999</v>
      </c>
      <c r="D543" t="s">
        <v>22</v>
      </c>
    </row>
    <row r="544" spans="1:4" x14ac:dyDescent="0.25">
      <c r="A544" s="1">
        <v>45764</v>
      </c>
      <c r="B544" t="s">
        <v>290</v>
      </c>
      <c r="C544" s="2">
        <v>2.65</v>
      </c>
      <c r="D544" t="s">
        <v>22</v>
      </c>
    </row>
    <row r="545" spans="1:4" x14ac:dyDescent="0.25">
      <c r="A545" s="1">
        <v>45764</v>
      </c>
      <c r="B545" t="s">
        <v>290</v>
      </c>
      <c r="C545" s="2">
        <v>2.65</v>
      </c>
      <c r="D545" t="s">
        <v>22</v>
      </c>
    </row>
    <row r="546" spans="1:4" x14ac:dyDescent="0.25">
      <c r="A546" s="1">
        <v>45764</v>
      </c>
      <c r="B546" t="s">
        <v>207</v>
      </c>
      <c r="C546" s="2">
        <v>4.3</v>
      </c>
      <c r="D546" t="s">
        <v>22</v>
      </c>
    </row>
    <row r="547" spans="1:4" x14ac:dyDescent="0.25">
      <c r="A547" s="1">
        <v>45764</v>
      </c>
      <c r="B547" t="s">
        <v>249</v>
      </c>
      <c r="C547" s="2">
        <v>4.4000000000000004</v>
      </c>
      <c r="D547" t="s">
        <v>22</v>
      </c>
    </row>
    <row r="548" spans="1:4" x14ac:dyDescent="0.25">
      <c r="A548" s="1">
        <v>45775</v>
      </c>
      <c r="B548" t="s">
        <v>211</v>
      </c>
      <c r="C548" s="2">
        <v>8.31</v>
      </c>
      <c r="D548" t="s">
        <v>22</v>
      </c>
    </row>
    <row r="549" spans="1:4" x14ac:dyDescent="0.25">
      <c r="A549" s="1">
        <v>45775</v>
      </c>
      <c r="B549" t="s">
        <v>106</v>
      </c>
      <c r="C549" s="2">
        <v>3.28</v>
      </c>
      <c r="D549" t="s">
        <v>22</v>
      </c>
    </row>
    <row r="550" spans="1:4" x14ac:dyDescent="0.25">
      <c r="A550" s="1">
        <v>45775</v>
      </c>
      <c r="B550" t="s">
        <v>131</v>
      </c>
      <c r="C550" s="2">
        <v>4.42</v>
      </c>
      <c r="D550" t="s">
        <v>22</v>
      </c>
    </row>
    <row r="551" spans="1:4" x14ac:dyDescent="0.25">
      <c r="A551" s="1">
        <v>45775</v>
      </c>
      <c r="B551" t="s">
        <v>140</v>
      </c>
      <c r="C551" s="2">
        <v>0.41</v>
      </c>
      <c r="D551" t="s">
        <v>22</v>
      </c>
    </row>
    <row r="552" spans="1:4" x14ac:dyDescent="0.25">
      <c r="A552" s="1">
        <v>45775</v>
      </c>
      <c r="B552" t="s">
        <v>39</v>
      </c>
      <c r="C552" s="2">
        <v>10.35</v>
      </c>
      <c r="D552" t="s">
        <v>22</v>
      </c>
    </row>
    <row r="553" spans="1:4" x14ac:dyDescent="0.25">
      <c r="A553" s="1">
        <v>45775</v>
      </c>
      <c r="B553" t="s">
        <v>318</v>
      </c>
      <c r="C553" s="2">
        <v>14.2</v>
      </c>
      <c r="D553" t="s">
        <v>22</v>
      </c>
    </row>
    <row r="554" spans="1:4" x14ac:dyDescent="0.25">
      <c r="A554" s="1">
        <v>45775</v>
      </c>
      <c r="B554" t="s">
        <v>187</v>
      </c>
      <c r="C554" s="2">
        <v>4.9000000000000004</v>
      </c>
      <c r="D554" t="s">
        <v>22</v>
      </c>
    </row>
    <row r="555" spans="1:4" x14ac:dyDescent="0.25">
      <c r="A555" s="1">
        <v>45775</v>
      </c>
      <c r="B555" t="s">
        <v>319</v>
      </c>
      <c r="C555" s="2">
        <v>6.81</v>
      </c>
      <c r="D555" t="s">
        <v>22</v>
      </c>
    </row>
    <row r="556" spans="1:4" x14ac:dyDescent="0.25">
      <c r="A556" s="1">
        <v>45775</v>
      </c>
      <c r="B556" t="s">
        <v>312</v>
      </c>
      <c r="C556" s="2">
        <v>4.7300000000000004</v>
      </c>
      <c r="D556" t="s">
        <v>22</v>
      </c>
    </row>
    <row r="557" spans="1:4" x14ac:dyDescent="0.25">
      <c r="A557" s="1">
        <v>45775</v>
      </c>
      <c r="B557" t="s">
        <v>320</v>
      </c>
      <c r="C557" s="2">
        <v>7.4</v>
      </c>
      <c r="D557" t="s">
        <v>22</v>
      </c>
    </row>
    <row r="558" spans="1:4" x14ac:dyDescent="0.25">
      <c r="A558" s="1">
        <v>45775</v>
      </c>
      <c r="B558" t="s">
        <v>321</v>
      </c>
      <c r="C558" s="2">
        <v>3</v>
      </c>
      <c r="D558" t="s">
        <v>22</v>
      </c>
    </row>
    <row r="559" spans="1:4" x14ac:dyDescent="0.25">
      <c r="A559" s="1">
        <v>45789</v>
      </c>
      <c r="B559" t="s">
        <v>322</v>
      </c>
      <c r="C559" s="2">
        <v>5.3</v>
      </c>
      <c r="D559" t="s">
        <v>22</v>
      </c>
    </row>
    <row r="560" spans="1:4" x14ac:dyDescent="0.25">
      <c r="A560" s="1">
        <v>45794</v>
      </c>
      <c r="B560" t="s">
        <v>323</v>
      </c>
      <c r="C560" s="2">
        <v>5.2</v>
      </c>
      <c r="D560" t="s">
        <v>22</v>
      </c>
    </row>
    <row r="561" spans="1:4" x14ac:dyDescent="0.25">
      <c r="A561" s="1">
        <v>45794</v>
      </c>
      <c r="B561" t="s">
        <v>167</v>
      </c>
      <c r="C561" s="2">
        <v>4.3</v>
      </c>
      <c r="D561" t="s">
        <v>22</v>
      </c>
    </row>
    <row r="562" spans="1:4" x14ac:dyDescent="0.25">
      <c r="A562" s="1">
        <v>45794</v>
      </c>
      <c r="B562" t="s">
        <v>290</v>
      </c>
      <c r="C562" s="2">
        <v>2.65</v>
      </c>
      <c r="D562" t="s">
        <v>22</v>
      </c>
    </row>
    <row r="563" spans="1:4" x14ac:dyDescent="0.25">
      <c r="A563" s="1">
        <v>45794</v>
      </c>
      <c r="B563" t="s">
        <v>290</v>
      </c>
      <c r="C563" s="2">
        <v>2.65</v>
      </c>
      <c r="D563" t="s">
        <v>22</v>
      </c>
    </row>
    <row r="564" spans="1:4" x14ac:dyDescent="0.25">
      <c r="A564" s="1">
        <v>45794</v>
      </c>
      <c r="B564" t="s">
        <v>322</v>
      </c>
      <c r="C564" s="2">
        <v>5.3</v>
      </c>
      <c r="D564" t="s">
        <v>22</v>
      </c>
    </row>
    <row r="565" spans="1:4" x14ac:dyDescent="0.25">
      <c r="A565" s="1">
        <v>45809</v>
      </c>
      <c r="B565" t="s">
        <v>310</v>
      </c>
      <c r="C565" s="2">
        <v>8.0399999999999991</v>
      </c>
      <c r="D565" t="s">
        <v>22</v>
      </c>
    </row>
    <row r="566" spans="1:4" x14ac:dyDescent="0.25">
      <c r="A566" s="1">
        <v>45809</v>
      </c>
      <c r="B566" t="s">
        <v>310</v>
      </c>
      <c r="C566" s="2">
        <v>8</v>
      </c>
      <c r="D566" t="s">
        <v>22</v>
      </c>
    </row>
    <row r="567" spans="1:4" x14ac:dyDescent="0.25">
      <c r="A567" s="1">
        <v>45809</v>
      </c>
      <c r="B567" t="s">
        <v>306</v>
      </c>
      <c r="C567" s="2">
        <v>5.45</v>
      </c>
      <c r="D567" t="s">
        <v>22</v>
      </c>
    </row>
    <row r="568" spans="1:4" x14ac:dyDescent="0.25">
      <c r="A568" s="1">
        <v>45809</v>
      </c>
      <c r="B568" t="s">
        <v>131</v>
      </c>
      <c r="C568" s="2">
        <v>4.04</v>
      </c>
      <c r="D568" t="s">
        <v>22</v>
      </c>
    </row>
    <row r="569" spans="1:4" x14ac:dyDescent="0.25">
      <c r="A569" s="1">
        <v>45809</v>
      </c>
      <c r="B569" t="s">
        <v>76</v>
      </c>
      <c r="C569" s="2">
        <v>1.01</v>
      </c>
      <c r="D569" t="s">
        <v>22</v>
      </c>
    </row>
    <row r="570" spans="1:4" x14ac:dyDescent="0.25">
      <c r="A570" s="1">
        <v>45809</v>
      </c>
      <c r="B570" t="s">
        <v>240</v>
      </c>
      <c r="C570" s="2">
        <v>7.49</v>
      </c>
      <c r="D570" t="s">
        <v>22</v>
      </c>
    </row>
    <row r="571" spans="1:4" x14ac:dyDescent="0.25">
      <c r="A571" s="1">
        <v>45809</v>
      </c>
      <c r="B571" t="s">
        <v>244</v>
      </c>
      <c r="C571" s="2">
        <v>1.6</v>
      </c>
      <c r="D571" t="s">
        <v>22</v>
      </c>
    </row>
    <row r="572" spans="1:4" x14ac:dyDescent="0.25">
      <c r="A572" s="1">
        <v>45809</v>
      </c>
      <c r="B572" t="s">
        <v>324</v>
      </c>
      <c r="C572" s="2">
        <v>2.7</v>
      </c>
      <c r="D572" t="s">
        <v>22</v>
      </c>
    </row>
    <row r="573" spans="1:4" x14ac:dyDescent="0.25">
      <c r="A573" s="1">
        <v>45809</v>
      </c>
      <c r="B573" t="s">
        <v>134</v>
      </c>
      <c r="C573" s="2">
        <v>4.4000000000000004</v>
      </c>
      <c r="D573" t="s">
        <v>22</v>
      </c>
    </row>
    <row r="574" spans="1:4" x14ac:dyDescent="0.25">
      <c r="A574" s="1">
        <v>45810</v>
      </c>
      <c r="B574" t="s">
        <v>160</v>
      </c>
      <c r="C574" s="2">
        <v>2.65</v>
      </c>
      <c r="D574" t="s">
        <v>22</v>
      </c>
    </row>
    <row r="575" spans="1:4" x14ac:dyDescent="0.25">
      <c r="A575" s="1">
        <v>45810</v>
      </c>
      <c r="B575" t="s">
        <v>160</v>
      </c>
      <c r="C575" s="2">
        <v>2.65</v>
      </c>
      <c r="D575" t="s">
        <v>22</v>
      </c>
    </row>
    <row r="576" spans="1:4" x14ac:dyDescent="0.25">
      <c r="A576" s="1">
        <v>45810</v>
      </c>
      <c r="B576" t="s">
        <v>325</v>
      </c>
      <c r="C576" s="2">
        <v>7.9</v>
      </c>
      <c r="D576" t="s">
        <v>22</v>
      </c>
    </row>
    <row r="577" spans="1:4" x14ac:dyDescent="0.25">
      <c r="A577" s="1">
        <v>45810</v>
      </c>
      <c r="B577" t="s">
        <v>326</v>
      </c>
      <c r="C577" s="2">
        <v>5.29</v>
      </c>
      <c r="D577" t="s">
        <v>22</v>
      </c>
    </row>
    <row r="578" spans="1:4" x14ac:dyDescent="0.25">
      <c r="A578" s="1">
        <v>45810</v>
      </c>
      <c r="B578" t="s">
        <v>106</v>
      </c>
      <c r="C578" s="2">
        <v>2.19</v>
      </c>
      <c r="D578" t="s">
        <v>22</v>
      </c>
    </row>
    <row r="579" spans="1:4" x14ac:dyDescent="0.25">
      <c r="A579" s="1">
        <v>45810</v>
      </c>
      <c r="B579" t="s">
        <v>78</v>
      </c>
      <c r="C579" s="2">
        <v>3</v>
      </c>
      <c r="D579" t="s">
        <v>22</v>
      </c>
    </row>
    <row r="580" spans="1:4" x14ac:dyDescent="0.25">
      <c r="A580" s="1">
        <v>45820</v>
      </c>
      <c r="B580" t="s">
        <v>327</v>
      </c>
      <c r="C580" s="2">
        <v>10.25</v>
      </c>
      <c r="D580" t="s">
        <v>22</v>
      </c>
    </row>
    <row r="581" spans="1:4" x14ac:dyDescent="0.25">
      <c r="A581" s="1">
        <v>45820</v>
      </c>
      <c r="B581" t="s">
        <v>88</v>
      </c>
      <c r="C581" s="2">
        <v>5.3</v>
      </c>
      <c r="D581" t="s">
        <v>22</v>
      </c>
    </row>
    <row r="582" spans="1:4" x14ac:dyDescent="0.25">
      <c r="A582" s="1">
        <v>45820</v>
      </c>
      <c r="B582" t="s">
        <v>306</v>
      </c>
      <c r="C582" s="2">
        <v>5.45</v>
      </c>
      <c r="D582" t="s">
        <v>22</v>
      </c>
    </row>
    <row r="583" spans="1:4" x14ac:dyDescent="0.25">
      <c r="A583" s="1">
        <v>45820</v>
      </c>
      <c r="B583" t="s">
        <v>106</v>
      </c>
      <c r="C583" s="2">
        <v>2.93</v>
      </c>
      <c r="D583" t="s">
        <v>22</v>
      </c>
    </row>
    <row r="584" spans="1:4" x14ac:dyDescent="0.25">
      <c r="A584" s="1">
        <v>45820</v>
      </c>
      <c r="B584" t="s">
        <v>328</v>
      </c>
      <c r="C584" s="2">
        <v>2.5</v>
      </c>
      <c r="D584" t="s">
        <v>22</v>
      </c>
    </row>
    <row r="585" spans="1:4" x14ac:dyDescent="0.25">
      <c r="A585" s="1">
        <v>45820</v>
      </c>
      <c r="B585" t="s">
        <v>329</v>
      </c>
      <c r="C585" s="2">
        <v>1</v>
      </c>
      <c r="D585" t="s">
        <v>22</v>
      </c>
    </row>
    <row r="586" spans="1:4" x14ac:dyDescent="0.25">
      <c r="A586" s="1">
        <v>45820</v>
      </c>
      <c r="B586" t="s">
        <v>244</v>
      </c>
      <c r="C586" s="2">
        <v>1.46</v>
      </c>
      <c r="D586" t="s">
        <v>22</v>
      </c>
    </row>
    <row r="587" spans="1:4" x14ac:dyDescent="0.25">
      <c r="A587" s="1">
        <v>45820</v>
      </c>
      <c r="B587" t="s">
        <v>330</v>
      </c>
      <c r="C587" s="2">
        <v>0.62</v>
      </c>
      <c r="D587" t="s">
        <v>22</v>
      </c>
    </row>
    <row r="588" spans="1:4" x14ac:dyDescent="0.25">
      <c r="A588" s="1">
        <v>45820</v>
      </c>
      <c r="B588" t="s">
        <v>179</v>
      </c>
      <c r="C588" s="2">
        <v>0.39</v>
      </c>
      <c r="D588" t="s">
        <v>22</v>
      </c>
    </row>
    <row r="589" spans="1:4" x14ac:dyDescent="0.25">
      <c r="A589" s="1">
        <v>45820</v>
      </c>
      <c r="B589" t="s">
        <v>331</v>
      </c>
      <c r="C589" s="2">
        <v>7.72</v>
      </c>
      <c r="D589" t="s">
        <v>22</v>
      </c>
    </row>
    <row r="590" spans="1:4" x14ac:dyDescent="0.25">
      <c r="A590" s="1">
        <v>45820</v>
      </c>
      <c r="B590" t="s">
        <v>292</v>
      </c>
      <c r="C590" s="2">
        <v>5.83</v>
      </c>
      <c r="D590" t="s">
        <v>22</v>
      </c>
    </row>
    <row r="591" spans="1:4" x14ac:dyDescent="0.25">
      <c r="A591" s="1">
        <v>45820</v>
      </c>
      <c r="B591" t="s">
        <v>332</v>
      </c>
      <c r="C591" s="2">
        <v>3</v>
      </c>
      <c r="D591" t="s">
        <v>22</v>
      </c>
    </row>
    <row r="592" spans="1:4" x14ac:dyDescent="0.25">
      <c r="A592" s="1">
        <v>45820</v>
      </c>
      <c r="B592" t="s">
        <v>333</v>
      </c>
      <c r="C592" s="2">
        <v>1.1000000000000001</v>
      </c>
      <c r="D592" t="s">
        <v>22</v>
      </c>
    </row>
    <row r="593" spans="1:4" x14ac:dyDescent="0.25">
      <c r="A593" s="1">
        <v>45820</v>
      </c>
      <c r="B593" t="s">
        <v>334</v>
      </c>
      <c r="C593" s="2">
        <v>3.2</v>
      </c>
      <c r="D593" t="s">
        <v>22</v>
      </c>
    </row>
    <row r="594" spans="1:4" x14ac:dyDescent="0.25">
      <c r="A594" s="1">
        <v>45820</v>
      </c>
      <c r="B594" t="s">
        <v>335</v>
      </c>
      <c r="C594" s="2">
        <v>1.73</v>
      </c>
      <c r="D594" t="s">
        <v>22</v>
      </c>
    </row>
    <row r="595" spans="1:4" x14ac:dyDescent="0.25">
      <c r="A595" s="1">
        <v>45820</v>
      </c>
      <c r="B595" t="s">
        <v>336</v>
      </c>
      <c r="C595" s="2">
        <v>6.2</v>
      </c>
      <c r="D595" t="s">
        <v>22</v>
      </c>
    </row>
    <row r="596" spans="1:4" x14ac:dyDescent="0.25">
      <c r="A596" s="1">
        <v>45820</v>
      </c>
      <c r="B596" t="s">
        <v>337</v>
      </c>
      <c r="C596" s="2">
        <v>5.7</v>
      </c>
      <c r="D596" t="s">
        <v>22</v>
      </c>
    </row>
    <row r="597" spans="1:4" x14ac:dyDescent="0.25">
      <c r="A597" s="1">
        <v>45820</v>
      </c>
      <c r="B597" t="s">
        <v>338</v>
      </c>
      <c r="C597" s="2">
        <v>15.4</v>
      </c>
      <c r="D597" t="s">
        <v>22</v>
      </c>
    </row>
    <row r="598" spans="1:4" x14ac:dyDescent="0.25">
      <c r="A598" s="1">
        <v>45823</v>
      </c>
      <c r="B598" t="s">
        <v>225</v>
      </c>
      <c r="C598" s="2">
        <v>12.7</v>
      </c>
      <c r="D598" t="s">
        <v>22</v>
      </c>
    </row>
    <row r="599" spans="1:4" x14ac:dyDescent="0.25">
      <c r="A599" s="1">
        <v>45823</v>
      </c>
      <c r="B599" t="s">
        <v>116</v>
      </c>
      <c r="C599" s="2">
        <v>7.9</v>
      </c>
      <c r="D599" t="s">
        <v>22</v>
      </c>
    </row>
    <row r="600" spans="1:4" x14ac:dyDescent="0.25">
      <c r="A600" s="1">
        <v>45823</v>
      </c>
      <c r="B600" t="s">
        <v>272</v>
      </c>
      <c r="C600" s="2">
        <v>8.15</v>
      </c>
      <c r="D600" t="s">
        <v>22</v>
      </c>
    </row>
    <row r="601" spans="1:4" x14ac:dyDescent="0.25">
      <c r="A601" s="1">
        <v>45823</v>
      </c>
      <c r="B601" t="s">
        <v>340</v>
      </c>
      <c r="C601" s="2">
        <v>5.49</v>
      </c>
      <c r="D601" t="s">
        <v>22</v>
      </c>
    </row>
    <row r="602" spans="1:4" x14ac:dyDescent="0.25">
      <c r="A602" s="1">
        <v>45823</v>
      </c>
      <c r="B602" t="s">
        <v>341</v>
      </c>
      <c r="C602" s="2">
        <v>3.75</v>
      </c>
      <c r="D602" t="s">
        <v>22</v>
      </c>
    </row>
    <row r="603" spans="1:4" x14ac:dyDescent="0.25">
      <c r="A603" s="1">
        <v>45823</v>
      </c>
      <c r="B603" t="s">
        <v>244</v>
      </c>
      <c r="C603" s="2">
        <v>0.94</v>
      </c>
      <c r="D603" t="s">
        <v>22</v>
      </c>
    </row>
    <row r="604" spans="1:4" x14ac:dyDescent="0.25">
      <c r="A604" s="1">
        <v>45823</v>
      </c>
      <c r="B604" t="s">
        <v>342</v>
      </c>
      <c r="C604" s="2">
        <v>0.56999999999999995</v>
      </c>
      <c r="D604" t="s">
        <v>22</v>
      </c>
    </row>
    <row r="605" spans="1:4" x14ac:dyDescent="0.25">
      <c r="A605" s="1">
        <v>45823</v>
      </c>
      <c r="B605" t="s">
        <v>328</v>
      </c>
      <c r="C605" s="2">
        <v>2.5</v>
      </c>
      <c r="D605" t="s">
        <v>22</v>
      </c>
    </row>
    <row r="606" spans="1:4" x14ac:dyDescent="0.25">
      <c r="A606" s="1">
        <v>45823</v>
      </c>
      <c r="B606" t="s">
        <v>343</v>
      </c>
      <c r="C606" s="2">
        <v>1.2</v>
      </c>
      <c r="D606" t="s">
        <v>22</v>
      </c>
    </row>
    <row r="607" spans="1:4" x14ac:dyDescent="0.25">
      <c r="A607" s="1">
        <v>45823</v>
      </c>
      <c r="B607" t="s">
        <v>212</v>
      </c>
      <c r="C607" s="2">
        <v>4.3</v>
      </c>
      <c r="D607" t="s">
        <v>22</v>
      </c>
    </row>
    <row r="608" spans="1:4" x14ac:dyDescent="0.25">
      <c r="A608" s="1">
        <v>45827</v>
      </c>
      <c r="B608" t="s">
        <v>272</v>
      </c>
      <c r="C608" s="2">
        <v>8.94</v>
      </c>
      <c r="D608" t="s">
        <v>22</v>
      </c>
    </row>
    <row r="609" spans="1:4" x14ac:dyDescent="0.25">
      <c r="A609" s="1">
        <v>45827</v>
      </c>
      <c r="B609" t="s">
        <v>290</v>
      </c>
      <c r="C609" s="2">
        <v>2.65</v>
      </c>
      <c r="D609" t="s">
        <v>22</v>
      </c>
    </row>
    <row r="610" spans="1:4" x14ac:dyDescent="0.25">
      <c r="A610" s="1">
        <v>45827</v>
      </c>
      <c r="B610" t="s">
        <v>290</v>
      </c>
      <c r="C610" s="2">
        <v>2.65</v>
      </c>
      <c r="D610" t="s">
        <v>22</v>
      </c>
    </row>
    <row r="611" spans="1:4" x14ac:dyDescent="0.25">
      <c r="A611" s="1">
        <v>45827</v>
      </c>
      <c r="B611" t="s">
        <v>345</v>
      </c>
      <c r="C611" s="2">
        <v>3.95</v>
      </c>
      <c r="D611" t="s">
        <v>22</v>
      </c>
    </row>
    <row r="612" spans="1:4" x14ac:dyDescent="0.25">
      <c r="A612" s="1">
        <v>45827</v>
      </c>
      <c r="B612" t="s">
        <v>131</v>
      </c>
      <c r="C612" s="2">
        <v>4.42</v>
      </c>
      <c r="D612" t="s">
        <v>22</v>
      </c>
    </row>
    <row r="613" spans="1:4" x14ac:dyDescent="0.25">
      <c r="A613" s="1">
        <v>45827</v>
      </c>
      <c r="B613" t="s">
        <v>346</v>
      </c>
      <c r="C613" s="2">
        <v>2.65</v>
      </c>
      <c r="D613" t="s">
        <v>22</v>
      </c>
    </row>
    <row r="614" spans="1:4" x14ac:dyDescent="0.25">
      <c r="A614" s="1">
        <v>45830</v>
      </c>
      <c r="B614" t="s">
        <v>355</v>
      </c>
      <c r="C614" s="2">
        <v>5.7</v>
      </c>
      <c r="D614" t="s">
        <v>22</v>
      </c>
    </row>
    <row r="615" spans="1:4" x14ac:dyDescent="0.25">
      <c r="A615" s="1">
        <v>45830</v>
      </c>
      <c r="B615" t="s">
        <v>356</v>
      </c>
      <c r="C615" s="2">
        <v>5.95</v>
      </c>
      <c r="D615" t="s">
        <v>22</v>
      </c>
    </row>
    <row r="616" spans="1:4" x14ac:dyDescent="0.25">
      <c r="A616" s="1">
        <v>45830</v>
      </c>
      <c r="B616" t="s">
        <v>272</v>
      </c>
      <c r="C616" s="2">
        <v>10.210000000000001</v>
      </c>
      <c r="D616" t="s">
        <v>22</v>
      </c>
    </row>
    <row r="617" spans="1:4" x14ac:dyDescent="0.25">
      <c r="A617" s="1">
        <v>45830</v>
      </c>
      <c r="B617" t="s">
        <v>357</v>
      </c>
      <c r="C617" s="2">
        <v>7.9</v>
      </c>
      <c r="D617" t="s">
        <v>22</v>
      </c>
    </row>
    <row r="618" spans="1:4" x14ac:dyDescent="0.25">
      <c r="A618" s="1">
        <v>45830</v>
      </c>
      <c r="B618" t="s">
        <v>328</v>
      </c>
      <c r="C618" s="2">
        <v>2.5</v>
      </c>
      <c r="D618" t="s">
        <v>22</v>
      </c>
    </row>
    <row r="619" spans="1:4" x14ac:dyDescent="0.25">
      <c r="A619" s="1">
        <v>45830</v>
      </c>
      <c r="B619" t="s">
        <v>106</v>
      </c>
      <c r="C619" s="2">
        <v>2.71</v>
      </c>
      <c r="D619" t="s">
        <v>22</v>
      </c>
    </row>
    <row r="620" spans="1:4" x14ac:dyDescent="0.25">
      <c r="A620" s="1">
        <v>45830</v>
      </c>
      <c r="B620" t="s">
        <v>333</v>
      </c>
      <c r="C620" s="2">
        <v>1.1000000000000001</v>
      </c>
      <c r="D620" t="s">
        <v>22</v>
      </c>
    </row>
    <row r="621" spans="1:4" x14ac:dyDescent="0.25">
      <c r="A621" s="1">
        <v>45830</v>
      </c>
      <c r="B621" t="s">
        <v>358</v>
      </c>
      <c r="C621" s="2">
        <v>3.32</v>
      </c>
      <c r="D621" t="s">
        <v>22</v>
      </c>
    </row>
    <row r="622" spans="1:4" x14ac:dyDescent="0.25">
      <c r="A622" s="1">
        <v>45830</v>
      </c>
      <c r="B622" t="s">
        <v>359</v>
      </c>
      <c r="C622" s="2">
        <v>3.8</v>
      </c>
      <c r="D622" t="s">
        <v>22</v>
      </c>
    </row>
    <row r="623" spans="1:4" x14ac:dyDescent="0.25">
      <c r="A623" s="1">
        <v>45830</v>
      </c>
      <c r="B623" t="s">
        <v>360</v>
      </c>
      <c r="C623" s="2">
        <v>2.2000000000000002</v>
      </c>
      <c r="D623" t="s">
        <v>22</v>
      </c>
    </row>
    <row r="624" spans="1:4" x14ac:dyDescent="0.25">
      <c r="A624" s="1">
        <v>45830</v>
      </c>
      <c r="B624" t="s">
        <v>361</v>
      </c>
      <c r="C624" s="2">
        <v>2.0299999999999998</v>
      </c>
      <c r="D624" t="s">
        <v>22</v>
      </c>
    </row>
    <row r="625" spans="1:4" x14ac:dyDescent="0.25">
      <c r="A625" s="1">
        <v>45830</v>
      </c>
      <c r="B625" t="s">
        <v>330</v>
      </c>
      <c r="C625" s="2">
        <v>0.7</v>
      </c>
      <c r="D625" t="s">
        <v>22</v>
      </c>
    </row>
    <row r="626" spans="1:4" x14ac:dyDescent="0.25">
      <c r="A626" s="1">
        <v>45830</v>
      </c>
      <c r="B626" t="s">
        <v>362</v>
      </c>
      <c r="C626" s="2">
        <v>4.4400000000000004</v>
      </c>
      <c r="D626" t="s">
        <v>22</v>
      </c>
    </row>
    <row r="627" spans="1:4" x14ac:dyDescent="0.25">
      <c r="A627" s="1">
        <v>45830</v>
      </c>
      <c r="B627" t="s">
        <v>212</v>
      </c>
      <c r="C627" s="2">
        <v>4.3</v>
      </c>
      <c r="D627" t="s">
        <v>22</v>
      </c>
    </row>
    <row r="628" spans="1:4" x14ac:dyDescent="0.25">
      <c r="A628" s="1">
        <v>45836</v>
      </c>
      <c r="B628" t="s">
        <v>323</v>
      </c>
      <c r="C628" s="2">
        <v>5.2</v>
      </c>
      <c r="D628" t="s">
        <v>22</v>
      </c>
    </row>
    <row r="629" spans="1:4" x14ac:dyDescent="0.25">
      <c r="A629" s="1">
        <v>45836</v>
      </c>
      <c r="B629" t="s">
        <v>363</v>
      </c>
      <c r="C629" s="2">
        <v>2.7</v>
      </c>
      <c r="D629" t="s">
        <v>22</v>
      </c>
    </row>
    <row r="630" spans="1:4" x14ac:dyDescent="0.25">
      <c r="A630" s="1">
        <v>45836</v>
      </c>
      <c r="B630" t="s">
        <v>170</v>
      </c>
      <c r="C630" s="2">
        <v>3</v>
      </c>
      <c r="D630" t="s">
        <v>22</v>
      </c>
    </row>
    <row r="631" spans="1:4" x14ac:dyDescent="0.25">
      <c r="A631" s="1">
        <v>45836</v>
      </c>
      <c r="B631" t="s">
        <v>328</v>
      </c>
      <c r="C631" s="2">
        <v>2.5</v>
      </c>
      <c r="D631" t="s">
        <v>22</v>
      </c>
    </row>
    <row r="632" spans="1:4" x14ac:dyDescent="0.25">
      <c r="A632" s="1">
        <v>45836</v>
      </c>
      <c r="B632" t="s">
        <v>329</v>
      </c>
      <c r="C632" s="2">
        <v>1</v>
      </c>
      <c r="D632" t="s">
        <v>22</v>
      </c>
    </row>
    <row r="633" spans="1:4" x14ac:dyDescent="0.25">
      <c r="A633" s="1">
        <v>45838</v>
      </c>
      <c r="B633" t="s">
        <v>306</v>
      </c>
      <c r="C633" s="2">
        <v>5.45</v>
      </c>
      <c r="D633" t="s">
        <v>22</v>
      </c>
    </row>
    <row r="634" spans="1:4" x14ac:dyDescent="0.25">
      <c r="A634" s="1">
        <v>45838</v>
      </c>
      <c r="B634" t="s">
        <v>211</v>
      </c>
      <c r="C634" s="2">
        <v>9.3800000000000008</v>
      </c>
      <c r="D634" t="s">
        <v>22</v>
      </c>
    </row>
    <row r="635" spans="1:4" x14ac:dyDescent="0.25">
      <c r="A635" s="1">
        <v>45840</v>
      </c>
      <c r="B635" t="s">
        <v>212</v>
      </c>
      <c r="C635" s="2">
        <v>4.3</v>
      </c>
      <c r="D635" t="s">
        <v>22</v>
      </c>
    </row>
    <row r="636" spans="1:4" x14ac:dyDescent="0.25">
      <c r="A636" s="1">
        <v>45840</v>
      </c>
      <c r="B636" t="s">
        <v>357</v>
      </c>
      <c r="C636" s="2">
        <v>7.9</v>
      </c>
      <c r="D636" t="s">
        <v>22</v>
      </c>
    </row>
    <row r="637" spans="1:4" x14ac:dyDescent="0.25">
      <c r="A637" s="1">
        <v>45840</v>
      </c>
      <c r="B637" t="s">
        <v>364</v>
      </c>
      <c r="C637" s="2">
        <v>4.0999999999999996</v>
      </c>
      <c r="D637" t="s">
        <v>22</v>
      </c>
    </row>
    <row r="638" spans="1:4" x14ac:dyDescent="0.25">
      <c r="A638" s="1">
        <v>45840</v>
      </c>
      <c r="B638" t="s">
        <v>364</v>
      </c>
      <c r="C638" s="2">
        <v>4.0999999999999996</v>
      </c>
      <c r="D638" t="s">
        <v>22</v>
      </c>
    </row>
    <row r="639" spans="1:4" x14ac:dyDescent="0.25">
      <c r="A639" s="1">
        <v>45842</v>
      </c>
      <c r="B639" t="s">
        <v>112</v>
      </c>
      <c r="C639" s="2">
        <v>8.76</v>
      </c>
      <c r="D639" t="s">
        <v>22</v>
      </c>
    </row>
    <row r="640" spans="1:4" x14ac:dyDescent="0.25">
      <c r="A640" s="1">
        <v>45842</v>
      </c>
      <c r="B640" t="s">
        <v>211</v>
      </c>
      <c r="C640" s="2">
        <v>9.17</v>
      </c>
      <c r="D640" t="s">
        <v>22</v>
      </c>
    </row>
    <row r="641" spans="1:4" x14ac:dyDescent="0.25">
      <c r="A641" s="1">
        <v>45842</v>
      </c>
      <c r="B641" t="s">
        <v>244</v>
      </c>
      <c r="C641" s="2">
        <v>2.57</v>
      </c>
      <c r="D641" t="s">
        <v>22</v>
      </c>
    </row>
    <row r="642" spans="1:4" x14ac:dyDescent="0.25">
      <c r="A642" s="1">
        <v>45840</v>
      </c>
      <c r="B642" t="s">
        <v>365</v>
      </c>
      <c r="C642" s="2">
        <v>12.9</v>
      </c>
      <c r="D642" t="s">
        <v>22</v>
      </c>
    </row>
    <row r="643" spans="1:4" x14ac:dyDescent="0.25">
      <c r="A643" s="1">
        <v>45847</v>
      </c>
      <c r="B643" t="s">
        <v>212</v>
      </c>
      <c r="C643" s="2">
        <v>4.3</v>
      </c>
      <c r="D643" t="s">
        <v>22</v>
      </c>
    </row>
    <row r="644" spans="1:4" x14ac:dyDescent="0.25">
      <c r="A644" s="1">
        <v>45847</v>
      </c>
      <c r="B644" t="s">
        <v>357</v>
      </c>
      <c r="C644" s="2">
        <v>7.9</v>
      </c>
      <c r="D644" t="s">
        <v>22</v>
      </c>
    </row>
    <row r="645" spans="1:4" x14ac:dyDescent="0.25">
      <c r="A645" s="1">
        <v>45851</v>
      </c>
      <c r="B645" t="s">
        <v>366</v>
      </c>
      <c r="C645" s="2">
        <v>8.4</v>
      </c>
      <c r="D645" t="s">
        <v>22</v>
      </c>
    </row>
    <row r="646" spans="1:4" x14ac:dyDescent="0.25">
      <c r="A646" s="1">
        <v>45851</v>
      </c>
      <c r="B646" t="s">
        <v>367</v>
      </c>
      <c r="C646" s="2">
        <v>2.9</v>
      </c>
      <c r="D646" t="s">
        <v>22</v>
      </c>
    </row>
    <row r="647" spans="1:4" x14ac:dyDescent="0.25">
      <c r="A647" s="1">
        <v>45851</v>
      </c>
      <c r="B647" t="s">
        <v>346</v>
      </c>
      <c r="C647" s="2">
        <v>1.4</v>
      </c>
      <c r="D647" t="s">
        <v>22</v>
      </c>
    </row>
    <row r="648" spans="1:4" x14ac:dyDescent="0.25">
      <c r="A648" s="1">
        <v>45851</v>
      </c>
      <c r="B648" t="s">
        <v>306</v>
      </c>
      <c r="C648" s="2">
        <v>5.45</v>
      </c>
      <c r="D648" t="s">
        <v>22</v>
      </c>
    </row>
    <row r="649" spans="1:4" x14ac:dyDescent="0.25">
      <c r="A649" s="1">
        <v>45855</v>
      </c>
      <c r="B649" t="s">
        <v>300</v>
      </c>
      <c r="C649" s="2">
        <v>12.5</v>
      </c>
      <c r="D649" t="s">
        <v>22</v>
      </c>
    </row>
    <row r="650" spans="1:4" x14ac:dyDescent="0.25">
      <c r="A650" s="1">
        <v>45855</v>
      </c>
      <c r="B650" t="s">
        <v>378</v>
      </c>
      <c r="C650" s="2">
        <v>2.85</v>
      </c>
      <c r="D650" t="s">
        <v>22</v>
      </c>
    </row>
    <row r="651" spans="1:4" x14ac:dyDescent="0.25">
      <c r="A651" s="1">
        <v>45855</v>
      </c>
      <c r="B651" t="s">
        <v>211</v>
      </c>
      <c r="C651" s="2">
        <v>7.21</v>
      </c>
      <c r="D651" t="s">
        <v>22</v>
      </c>
    </row>
    <row r="652" spans="1:4" x14ac:dyDescent="0.25">
      <c r="A652" s="1">
        <v>45855</v>
      </c>
      <c r="B652" t="s">
        <v>208</v>
      </c>
      <c r="C652" s="2">
        <v>9.3000000000000007</v>
      </c>
      <c r="D652" t="s">
        <v>22</v>
      </c>
    </row>
    <row r="653" spans="1:4" x14ac:dyDescent="0.25">
      <c r="A653" s="1">
        <v>45855</v>
      </c>
      <c r="B653" t="s">
        <v>76</v>
      </c>
      <c r="C653" s="2">
        <v>0.88</v>
      </c>
      <c r="D653" t="s">
        <v>22</v>
      </c>
    </row>
    <row r="654" spans="1:4" x14ac:dyDescent="0.25">
      <c r="A654" s="1">
        <v>45855</v>
      </c>
      <c r="B654" t="s">
        <v>131</v>
      </c>
      <c r="C654" s="2">
        <v>4.5199999999999996</v>
      </c>
      <c r="D654" t="s">
        <v>22</v>
      </c>
    </row>
    <row r="655" spans="1:4" x14ac:dyDescent="0.25">
      <c r="A655" s="1">
        <v>45855</v>
      </c>
      <c r="B655" t="s">
        <v>379</v>
      </c>
      <c r="C655" s="2">
        <v>1.9</v>
      </c>
      <c r="D655" t="s">
        <v>22</v>
      </c>
    </row>
    <row r="656" spans="1:4" x14ac:dyDescent="0.25">
      <c r="A656" s="1">
        <v>45855</v>
      </c>
      <c r="B656" t="s">
        <v>106</v>
      </c>
      <c r="C656" s="2">
        <v>1.9</v>
      </c>
      <c r="D656" t="s">
        <v>22</v>
      </c>
    </row>
    <row r="657" spans="1:4" x14ac:dyDescent="0.25">
      <c r="A657" s="1">
        <v>45855</v>
      </c>
      <c r="B657" t="s">
        <v>380</v>
      </c>
      <c r="C657" s="2">
        <v>6.4</v>
      </c>
      <c r="D657" t="s">
        <v>22</v>
      </c>
    </row>
    <row r="658" spans="1:4" x14ac:dyDescent="0.25">
      <c r="A658" s="1">
        <v>45858</v>
      </c>
      <c r="B658" t="s">
        <v>146</v>
      </c>
      <c r="C658" s="2">
        <v>12.7</v>
      </c>
      <c r="D658" t="s">
        <v>22</v>
      </c>
    </row>
    <row r="659" spans="1:4" x14ac:dyDescent="0.25">
      <c r="A659" s="1">
        <v>45858</v>
      </c>
      <c r="B659" t="s">
        <v>323</v>
      </c>
      <c r="C659" s="2">
        <v>5.2</v>
      </c>
      <c r="D659" t="s">
        <v>22</v>
      </c>
    </row>
    <row r="660" spans="1:4" x14ac:dyDescent="0.25">
      <c r="A660" s="1">
        <v>45858</v>
      </c>
      <c r="B660" t="s">
        <v>369</v>
      </c>
      <c r="C660" s="2">
        <v>16.7</v>
      </c>
      <c r="D660" t="s">
        <v>22</v>
      </c>
    </row>
    <row r="661" spans="1:4" x14ac:dyDescent="0.25">
      <c r="A661" s="1">
        <v>45858</v>
      </c>
      <c r="B661" t="s">
        <v>370</v>
      </c>
      <c r="C661" s="2">
        <v>7.9</v>
      </c>
      <c r="D661" t="s">
        <v>22</v>
      </c>
    </row>
    <row r="662" spans="1:4" x14ac:dyDescent="0.25">
      <c r="A662" s="1">
        <v>45858</v>
      </c>
      <c r="B662" t="s">
        <v>290</v>
      </c>
      <c r="C662" s="2">
        <v>2.65</v>
      </c>
      <c r="D662" t="s">
        <v>22</v>
      </c>
    </row>
    <row r="663" spans="1:4" x14ac:dyDescent="0.25">
      <c r="A663" s="1">
        <v>45858</v>
      </c>
      <c r="B663" t="s">
        <v>367</v>
      </c>
      <c r="C663" s="2">
        <v>2.9</v>
      </c>
      <c r="D663" t="s">
        <v>22</v>
      </c>
    </row>
    <row r="664" spans="1:4" x14ac:dyDescent="0.25">
      <c r="A664" s="1">
        <v>45858</v>
      </c>
      <c r="B664" t="s">
        <v>371</v>
      </c>
      <c r="C664" s="2">
        <v>6.8</v>
      </c>
      <c r="D664" t="s">
        <v>22</v>
      </c>
    </row>
    <row r="665" spans="1:4" x14ac:dyDescent="0.25">
      <c r="A665" s="1">
        <v>45858</v>
      </c>
      <c r="B665" t="s">
        <v>306</v>
      </c>
      <c r="C665" s="2">
        <v>5.45</v>
      </c>
      <c r="D665" t="s">
        <v>22</v>
      </c>
    </row>
    <row r="666" spans="1:4" x14ac:dyDescent="0.25">
      <c r="A666" s="1">
        <v>45858</v>
      </c>
      <c r="B666" t="s">
        <v>372</v>
      </c>
      <c r="C666" s="2">
        <v>4.3</v>
      </c>
      <c r="D666" t="s">
        <v>22</v>
      </c>
    </row>
    <row r="667" spans="1:4" x14ac:dyDescent="0.25">
      <c r="A667" s="1">
        <v>45867</v>
      </c>
      <c r="B667" t="s">
        <v>342</v>
      </c>
      <c r="C667" s="2">
        <v>0.98</v>
      </c>
      <c r="D667" t="s">
        <v>22</v>
      </c>
    </row>
    <row r="668" spans="1:4" x14ac:dyDescent="0.25">
      <c r="A668" s="1">
        <v>45867</v>
      </c>
      <c r="B668" t="s">
        <v>330</v>
      </c>
      <c r="C668" s="2">
        <v>0.78</v>
      </c>
      <c r="D668" t="s">
        <v>22</v>
      </c>
    </row>
    <row r="669" spans="1:4" x14ac:dyDescent="0.25">
      <c r="A669" s="1">
        <v>45867</v>
      </c>
      <c r="B669" t="s">
        <v>373</v>
      </c>
      <c r="C669" s="2">
        <v>5.95</v>
      </c>
      <c r="D669" t="s">
        <v>22</v>
      </c>
    </row>
    <row r="670" spans="1:4" x14ac:dyDescent="0.25">
      <c r="A670" s="1">
        <v>45867</v>
      </c>
      <c r="B670" t="s">
        <v>374</v>
      </c>
      <c r="C670" s="2">
        <v>8.5</v>
      </c>
      <c r="D670" t="s">
        <v>22</v>
      </c>
    </row>
    <row r="671" spans="1:4" x14ac:dyDescent="0.25">
      <c r="A671" s="1">
        <v>45867</v>
      </c>
      <c r="B671" t="s">
        <v>375</v>
      </c>
      <c r="C671" s="2">
        <v>2.8</v>
      </c>
      <c r="D671" t="s">
        <v>22</v>
      </c>
    </row>
    <row r="672" spans="1:4" x14ac:dyDescent="0.25">
      <c r="A672" s="1">
        <v>45867</v>
      </c>
      <c r="B672" t="s">
        <v>376</v>
      </c>
      <c r="C672" s="2">
        <v>8.1199999999999992</v>
      </c>
      <c r="D672" t="s">
        <v>22</v>
      </c>
    </row>
    <row r="673" spans="1:4" x14ac:dyDescent="0.25">
      <c r="A673" s="1">
        <v>45867</v>
      </c>
      <c r="B673" t="s">
        <v>377</v>
      </c>
      <c r="C673" s="2">
        <v>13.95</v>
      </c>
      <c r="D673" t="s">
        <v>22</v>
      </c>
    </row>
    <row r="674" spans="1:4" x14ac:dyDescent="0.25">
      <c r="A674" s="1">
        <v>45867</v>
      </c>
      <c r="B674" t="s">
        <v>306</v>
      </c>
      <c r="C674" s="2">
        <v>5.45</v>
      </c>
      <c r="D674" t="s">
        <v>22</v>
      </c>
    </row>
    <row r="675" spans="1:4" x14ac:dyDescent="0.25">
      <c r="A675" s="1">
        <v>45869</v>
      </c>
      <c r="B675" t="s">
        <v>88</v>
      </c>
      <c r="C675" s="2">
        <v>5.3</v>
      </c>
      <c r="D675" t="s">
        <v>22</v>
      </c>
    </row>
    <row r="676" spans="1:4" x14ac:dyDescent="0.25">
      <c r="A676" s="1">
        <v>45869</v>
      </c>
      <c r="B676" t="s">
        <v>211</v>
      </c>
      <c r="C676" s="2">
        <v>8.89</v>
      </c>
      <c r="D676" t="s">
        <v>22</v>
      </c>
    </row>
    <row r="677" spans="1:4" x14ac:dyDescent="0.25">
      <c r="A677" s="1">
        <v>45869</v>
      </c>
      <c r="B677" t="s">
        <v>244</v>
      </c>
      <c r="C677" s="2">
        <v>1.9</v>
      </c>
      <c r="D677" t="s">
        <v>22</v>
      </c>
    </row>
    <row r="678" spans="1:4" x14ac:dyDescent="0.25">
      <c r="A678" s="1">
        <v>45872</v>
      </c>
      <c r="B678" t="s">
        <v>212</v>
      </c>
      <c r="C678" s="2">
        <v>4.3</v>
      </c>
      <c r="D678" t="s">
        <v>22</v>
      </c>
    </row>
    <row r="679" spans="1:4" x14ac:dyDescent="0.25">
      <c r="A679" s="1">
        <v>45872</v>
      </c>
      <c r="B679" t="s">
        <v>323</v>
      </c>
      <c r="C679" s="2">
        <v>5.2</v>
      </c>
      <c r="D679" t="s">
        <v>22</v>
      </c>
    </row>
    <row r="680" spans="1:4" x14ac:dyDescent="0.25">
      <c r="A680" s="1">
        <v>45872</v>
      </c>
      <c r="B680" t="s">
        <v>381</v>
      </c>
      <c r="C680" s="2">
        <v>15.49</v>
      </c>
      <c r="D680" t="s">
        <v>22</v>
      </c>
    </row>
    <row r="681" spans="1:4" x14ac:dyDescent="0.25">
      <c r="A681" s="1">
        <v>45872</v>
      </c>
      <c r="B681" t="s">
        <v>367</v>
      </c>
      <c r="C681" s="2">
        <v>2.9</v>
      </c>
      <c r="D681" t="s">
        <v>22</v>
      </c>
    </row>
    <row r="682" spans="1:4" x14ac:dyDescent="0.25">
      <c r="A682" s="1">
        <v>45872</v>
      </c>
      <c r="B682" t="s">
        <v>306</v>
      </c>
      <c r="C682" s="2">
        <v>5.45</v>
      </c>
      <c r="D682" t="s">
        <v>22</v>
      </c>
    </row>
    <row r="683" spans="1:4" x14ac:dyDescent="0.25">
      <c r="A683" s="1">
        <v>45872</v>
      </c>
      <c r="B683" t="s">
        <v>357</v>
      </c>
      <c r="C683" s="2">
        <v>7.9</v>
      </c>
      <c r="D683" t="s">
        <v>22</v>
      </c>
    </row>
    <row r="684" spans="1:4" x14ac:dyDescent="0.25">
      <c r="A684" s="1">
        <v>45876</v>
      </c>
      <c r="B684" t="s">
        <v>272</v>
      </c>
      <c r="C684" s="2">
        <v>6.27</v>
      </c>
      <c r="D684" t="s">
        <v>22</v>
      </c>
    </row>
    <row r="685" spans="1:4" x14ac:dyDescent="0.25">
      <c r="A685" s="1">
        <v>45876</v>
      </c>
      <c r="B685" t="s">
        <v>76</v>
      </c>
      <c r="C685" s="2">
        <v>0.77</v>
      </c>
      <c r="D685" t="s">
        <v>22</v>
      </c>
    </row>
    <row r="686" spans="1:4" x14ac:dyDescent="0.25">
      <c r="A686" s="1">
        <v>45876</v>
      </c>
      <c r="B686" t="s">
        <v>382</v>
      </c>
      <c r="C686" s="2">
        <v>0.66</v>
      </c>
      <c r="D686" t="s">
        <v>22</v>
      </c>
    </row>
    <row r="687" spans="1:4" x14ac:dyDescent="0.25">
      <c r="A687" s="1">
        <v>45876</v>
      </c>
      <c r="B687" t="s">
        <v>131</v>
      </c>
      <c r="C687" s="2">
        <v>4.45</v>
      </c>
      <c r="D687" t="s">
        <v>22</v>
      </c>
    </row>
    <row r="688" spans="1:4" x14ac:dyDescent="0.25">
      <c r="A688" s="1">
        <v>45876</v>
      </c>
      <c r="B688" t="s">
        <v>106</v>
      </c>
      <c r="C688" s="2">
        <v>2.98</v>
      </c>
      <c r="D688" t="s">
        <v>22</v>
      </c>
    </row>
    <row r="689" spans="1:4" x14ac:dyDescent="0.25">
      <c r="A689" s="1">
        <v>45879</v>
      </c>
      <c r="B689" t="s">
        <v>383</v>
      </c>
      <c r="C689" s="2">
        <v>5.0999999999999996</v>
      </c>
      <c r="D689" t="s">
        <v>22</v>
      </c>
    </row>
    <row r="690" spans="1:4" x14ac:dyDescent="0.25">
      <c r="A690" s="1">
        <v>45879</v>
      </c>
      <c r="B690" t="s">
        <v>384</v>
      </c>
      <c r="C690" s="2">
        <v>4.2</v>
      </c>
      <c r="D690" t="s">
        <v>22</v>
      </c>
    </row>
    <row r="691" spans="1:4" x14ac:dyDescent="0.25">
      <c r="A691" s="1">
        <v>45879</v>
      </c>
      <c r="B691" t="s">
        <v>106</v>
      </c>
      <c r="C691" s="2">
        <v>2.95</v>
      </c>
      <c r="D691" t="s">
        <v>22</v>
      </c>
    </row>
    <row r="692" spans="1:4" x14ac:dyDescent="0.25">
      <c r="A692" s="1">
        <v>45879</v>
      </c>
      <c r="B692" t="s">
        <v>312</v>
      </c>
      <c r="C692" s="2">
        <v>3.52</v>
      </c>
      <c r="D692" t="s">
        <v>22</v>
      </c>
    </row>
    <row r="693" spans="1:4" x14ac:dyDescent="0.25">
      <c r="A693" s="1">
        <v>45879</v>
      </c>
      <c r="B693" t="s">
        <v>385</v>
      </c>
      <c r="C693" s="2">
        <v>0.77</v>
      </c>
      <c r="D693" t="s">
        <v>22</v>
      </c>
    </row>
    <row r="694" spans="1:4" x14ac:dyDescent="0.25">
      <c r="A694" s="1">
        <v>45879</v>
      </c>
      <c r="B694" t="s">
        <v>386</v>
      </c>
      <c r="C694" s="2">
        <v>3</v>
      </c>
      <c r="D694" t="s">
        <v>22</v>
      </c>
    </row>
    <row r="695" spans="1:4" x14ac:dyDescent="0.25">
      <c r="A695" s="1">
        <v>45879</v>
      </c>
      <c r="B695" t="s">
        <v>328</v>
      </c>
      <c r="C695" s="2">
        <v>2.5</v>
      </c>
      <c r="D695" t="s">
        <v>22</v>
      </c>
    </row>
    <row r="696" spans="1:4" x14ac:dyDescent="0.25">
      <c r="A696" s="1">
        <v>45879</v>
      </c>
      <c r="B696" t="s">
        <v>112</v>
      </c>
      <c r="C696" s="2">
        <v>8.35</v>
      </c>
      <c r="D696" t="s">
        <v>22</v>
      </c>
    </row>
    <row r="697" spans="1:4" x14ac:dyDescent="0.25">
      <c r="A697" s="1">
        <v>45879</v>
      </c>
      <c r="B697" t="s">
        <v>387</v>
      </c>
      <c r="C697" s="2">
        <v>1.9</v>
      </c>
      <c r="D697" t="s">
        <v>22</v>
      </c>
    </row>
    <row r="698" spans="1:4" x14ac:dyDescent="0.25">
      <c r="A698" s="1">
        <v>45879</v>
      </c>
      <c r="B698" t="s">
        <v>357</v>
      </c>
      <c r="C698" s="2">
        <v>7.9</v>
      </c>
      <c r="D698" t="s">
        <v>22</v>
      </c>
    </row>
    <row r="699" spans="1:4" x14ac:dyDescent="0.25">
      <c r="A699" s="1">
        <v>45879</v>
      </c>
      <c r="B699" t="s">
        <v>212</v>
      </c>
      <c r="C699" s="2">
        <v>4.3</v>
      </c>
      <c r="D699" t="s">
        <v>22</v>
      </c>
    </row>
    <row r="700" spans="1:4" x14ac:dyDescent="0.25">
      <c r="A700" s="1">
        <v>45886</v>
      </c>
      <c r="B700" t="s">
        <v>388</v>
      </c>
      <c r="C700" s="2">
        <v>10.9</v>
      </c>
      <c r="D700" t="s">
        <v>22</v>
      </c>
    </row>
    <row r="701" spans="1:4" x14ac:dyDescent="0.25">
      <c r="A701" s="1">
        <v>45886</v>
      </c>
      <c r="B701" t="s">
        <v>389</v>
      </c>
      <c r="C701" s="2">
        <v>20.9</v>
      </c>
      <c r="D701" t="s">
        <v>22</v>
      </c>
    </row>
    <row r="702" spans="1:4" x14ac:dyDescent="0.25">
      <c r="A702" s="1">
        <v>45886</v>
      </c>
      <c r="B702" t="s">
        <v>367</v>
      </c>
      <c r="C702" s="2">
        <v>2.9</v>
      </c>
      <c r="D702" t="s">
        <v>22</v>
      </c>
    </row>
    <row r="703" spans="1:4" x14ac:dyDescent="0.25">
      <c r="A703" s="1">
        <v>45886</v>
      </c>
      <c r="B703" t="s">
        <v>108</v>
      </c>
      <c r="C703" s="2">
        <v>0.62</v>
      </c>
      <c r="D703" t="s">
        <v>22</v>
      </c>
    </row>
    <row r="704" spans="1:4" x14ac:dyDescent="0.25">
      <c r="A704" s="1">
        <v>45886</v>
      </c>
      <c r="B704" t="s">
        <v>140</v>
      </c>
      <c r="C704" s="2">
        <v>0.09</v>
      </c>
      <c r="D704" t="s">
        <v>22</v>
      </c>
    </row>
    <row r="705" spans="1:4" x14ac:dyDescent="0.25">
      <c r="A705" s="1">
        <v>45886</v>
      </c>
      <c r="B705" t="s">
        <v>306</v>
      </c>
      <c r="C705" s="2">
        <v>5.45</v>
      </c>
      <c r="D705" t="s">
        <v>22</v>
      </c>
    </row>
    <row r="706" spans="1:4" x14ac:dyDescent="0.25">
      <c r="A706" s="1">
        <v>45891</v>
      </c>
      <c r="B706" t="s">
        <v>390</v>
      </c>
      <c r="C706" s="2">
        <v>15.9</v>
      </c>
      <c r="D706" t="s">
        <v>22</v>
      </c>
    </row>
    <row r="707" spans="1:4" x14ac:dyDescent="0.25">
      <c r="A707" s="1">
        <v>45891</v>
      </c>
      <c r="B707" t="s">
        <v>391</v>
      </c>
      <c r="C707" s="2">
        <v>3.4</v>
      </c>
      <c r="D707" t="s">
        <v>22</v>
      </c>
    </row>
    <row r="708" spans="1:4" x14ac:dyDescent="0.25">
      <c r="A708" s="1">
        <v>45891</v>
      </c>
      <c r="B708" t="s">
        <v>392</v>
      </c>
      <c r="C708" s="2">
        <v>8.6</v>
      </c>
      <c r="D708" t="s">
        <v>22</v>
      </c>
    </row>
    <row r="709" spans="1:4" x14ac:dyDescent="0.25">
      <c r="A709" s="1">
        <v>45891</v>
      </c>
      <c r="B709" t="s">
        <v>330</v>
      </c>
      <c r="C709" s="2">
        <v>1.07</v>
      </c>
      <c r="D709" t="s">
        <v>22</v>
      </c>
    </row>
    <row r="710" spans="1:4" x14ac:dyDescent="0.25">
      <c r="A710" s="1">
        <v>45891</v>
      </c>
      <c r="B710" t="s">
        <v>342</v>
      </c>
      <c r="C710" s="2">
        <v>0.92</v>
      </c>
      <c r="D710" t="s">
        <v>22</v>
      </c>
    </row>
    <row r="711" spans="1:4" x14ac:dyDescent="0.25">
      <c r="A711" s="1">
        <v>45891</v>
      </c>
      <c r="B711" t="s">
        <v>272</v>
      </c>
      <c r="C711" s="2">
        <v>6.58</v>
      </c>
      <c r="D711" t="s">
        <v>22</v>
      </c>
    </row>
    <row r="712" spans="1:4" x14ac:dyDescent="0.25">
      <c r="A712" s="1">
        <v>45891</v>
      </c>
      <c r="B712" t="s">
        <v>393</v>
      </c>
      <c r="C712" s="2">
        <v>14.9</v>
      </c>
      <c r="D712" t="s">
        <v>22</v>
      </c>
    </row>
    <row r="713" spans="1:4" x14ac:dyDescent="0.25">
      <c r="A713" s="1">
        <v>45891</v>
      </c>
      <c r="B713" t="s">
        <v>377</v>
      </c>
      <c r="C713" s="2">
        <v>13.95</v>
      </c>
      <c r="D713" t="s">
        <v>22</v>
      </c>
    </row>
    <row r="714" spans="1:4" x14ac:dyDescent="0.25">
      <c r="A714" s="1">
        <v>45891</v>
      </c>
      <c r="B714" t="s">
        <v>394</v>
      </c>
      <c r="C714" s="2">
        <v>5.2</v>
      </c>
      <c r="D714" t="s">
        <v>22</v>
      </c>
    </row>
    <row r="715" spans="1:4" x14ac:dyDescent="0.25">
      <c r="A715" s="1">
        <v>45899</v>
      </c>
      <c r="B715" t="s">
        <v>323</v>
      </c>
      <c r="C715" s="2">
        <v>5.2</v>
      </c>
      <c r="D715" t="s">
        <v>22</v>
      </c>
    </row>
    <row r="716" spans="1:4" x14ac:dyDescent="0.25">
      <c r="A716" s="1">
        <v>45899</v>
      </c>
      <c r="B716" t="s">
        <v>367</v>
      </c>
      <c r="C716" s="2">
        <v>2.9</v>
      </c>
      <c r="D716" t="s">
        <v>22</v>
      </c>
    </row>
    <row r="717" spans="1:4" x14ac:dyDescent="0.25">
      <c r="A717" s="1">
        <v>45899</v>
      </c>
      <c r="B717" t="s">
        <v>367</v>
      </c>
      <c r="C717" s="2">
        <v>2.9</v>
      </c>
      <c r="D717" t="s">
        <v>22</v>
      </c>
    </row>
    <row r="718" spans="1:4" x14ac:dyDescent="0.25">
      <c r="A718" s="1">
        <v>45899</v>
      </c>
      <c r="B718" t="s">
        <v>310</v>
      </c>
      <c r="C718" s="2">
        <v>6.86</v>
      </c>
      <c r="D718" t="s">
        <v>22</v>
      </c>
    </row>
    <row r="719" spans="1:4" x14ac:dyDescent="0.25">
      <c r="A719" s="1">
        <v>45899</v>
      </c>
      <c r="B719" t="s">
        <v>357</v>
      </c>
      <c r="C719" s="2">
        <v>7.9</v>
      </c>
      <c r="D719" t="s">
        <v>22</v>
      </c>
    </row>
    <row r="720" spans="1:4" x14ac:dyDescent="0.25">
      <c r="A720" s="1">
        <v>45899</v>
      </c>
      <c r="B720" t="s">
        <v>396</v>
      </c>
      <c r="C720" s="2">
        <v>14.5</v>
      </c>
      <c r="D720" t="s">
        <v>22</v>
      </c>
    </row>
    <row r="721" spans="1:4" x14ac:dyDescent="0.25">
      <c r="A721" s="1">
        <v>45899</v>
      </c>
      <c r="B721" t="s">
        <v>306</v>
      </c>
      <c r="C721" s="2">
        <v>5.45</v>
      </c>
      <c r="D721" t="s">
        <v>22</v>
      </c>
    </row>
    <row r="722" spans="1:4" x14ac:dyDescent="0.25">
      <c r="A722" s="1">
        <v>45899</v>
      </c>
      <c r="B722" t="s">
        <v>244</v>
      </c>
      <c r="C722" s="2">
        <v>2.7</v>
      </c>
      <c r="D722" t="s">
        <v>22</v>
      </c>
    </row>
    <row r="723" spans="1:4" x14ac:dyDescent="0.25">
      <c r="A723" s="1">
        <v>45899</v>
      </c>
      <c r="B723" t="s">
        <v>212</v>
      </c>
      <c r="C723" s="2">
        <v>4.3</v>
      </c>
      <c r="D723" t="s">
        <v>22</v>
      </c>
    </row>
    <row r="724" spans="1:4" x14ac:dyDescent="0.25">
      <c r="A724" s="1">
        <v>45910</v>
      </c>
      <c r="B724" t="s">
        <v>310</v>
      </c>
      <c r="C724" s="2">
        <v>7.72</v>
      </c>
      <c r="D724" t="s">
        <v>22</v>
      </c>
    </row>
    <row r="725" spans="1:4" x14ac:dyDescent="0.25">
      <c r="A725" s="1">
        <v>45910</v>
      </c>
      <c r="B725" t="s">
        <v>106</v>
      </c>
      <c r="C725" s="2">
        <v>2.84</v>
      </c>
      <c r="D725" t="s">
        <v>22</v>
      </c>
    </row>
    <row r="726" spans="1:4" x14ac:dyDescent="0.25">
      <c r="A726" s="1">
        <v>45910</v>
      </c>
      <c r="B726" t="s">
        <v>131</v>
      </c>
      <c r="C726" s="2">
        <v>4.68</v>
      </c>
      <c r="D726" t="s">
        <v>22</v>
      </c>
    </row>
    <row r="727" spans="1:4" x14ac:dyDescent="0.25">
      <c r="A727" s="1">
        <v>45916</v>
      </c>
      <c r="B727" t="s">
        <v>397</v>
      </c>
      <c r="C727" s="2">
        <v>11.5</v>
      </c>
      <c r="D727" t="s">
        <v>22</v>
      </c>
    </row>
    <row r="728" spans="1:4" x14ac:dyDescent="0.25">
      <c r="A728" s="1">
        <v>45916</v>
      </c>
      <c r="B728" t="s">
        <v>49</v>
      </c>
      <c r="C728" s="2">
        <v>7.9</v>
      </c>
      <c r="D728" t="s">
        <v>22</v>
      </c>
    </row>
    <row r="729" spans="1:4" x14ac:dyDescent="0.25">
      <c r="A729" s="1">
        <v>45916</v>
      </c>
      <c r="B729" t="s">
        <v>398</v>
      </c>
      <c r="C729" s="2">
        <v>5.49</v>
      </c>
      <c r="D729" t="s">
        <v>22</v>
      </c>
    </row>
    <row r="730" spans="1:4" x14ac:dyDescent="0.25">
      <c r="A730" s="1">
        <v>45916</v>
      </c>
      <c r="B730" t="s">
        <v>399</v>
      </c>
      <c r="C730" s="2">
        <v>13.7</v>
      </c>
      <c r="D730" t="s">
        <v>22</v>
      </c>
    </row>
    <row r="731" spans="1:4" x14ac:dyDescent="0.25">
      <c r="A731" s="1">
        <v>45916</v>
      </c>
      <c r="B731" t="s">
        <v>272</v>
      </c>
      <c r="C731" s="2">
        <v>8.7899999999999991</v>
      </c>
      <c r="D731" t="s">
        <v>22</v>
      </c>
    </row>
    <row r="732" spans="1:4" x14ac:dyDescent="0.25">
      <c r="A732" s="1">
        <v>45916</v>
      </c>
      <c r="B732" t="s">
        <v>400</v>
      </c>
      <c r="C732" s="2">
        <v>16.899999999999999</v>
      </c>
      <c r="D732" t="s">
        <v>22</v>
      </c>
    </row>
    <row r="733" spans="1:4" x14ac:dyDescent="0.25">
      <c r="A733" s="1">
        <v>45916</v>
      </c>
      <c r="B733" t="s">
        <v>363</v>
      </c>
      <c r="C733" s="2">
        <v>2.7</v>
      </c>
      <c r="D733" t="s">
        <v>22</v>
      </c>
    </row>
    <row r="734" spans="1:4" x14ac:dyDescent="0.25">
      <c r="A734" s="1">
        <v>45916</v>
      </c>
      <c r="B734" t="s">
        <v>328</v>
      </c>
      <c r="C734" s="2">
        <v>2.5</v>
      </c>
      <c r="D734" t="s">
        <v>22</v>
      </c>
    </row>
    <row r="735" spans="1:4" x14ac:dyDescent="0.25">
      <c r="A735" s="1">
        <v>45916</v>
      </c>
      <c r="B735" t="s">
        <v>306</v>
      </c>
      <c r="C735" s="2">
        <v>5.45</v>
      </c>
      <c r="D735" t="s">
        <v>22</v>
      </c>
    </row>
    <row r="736" spans="1:4" x14ac:dyDescent="0.25">
      <c r="A736" s="1">
        <v>45916</v>
      </c>
      <c r="B736" t="s">
        <v>106</v>
      </c>
      <c r="C736" s="2">
        <v>2.48</v>
      </c>
      <c r="D736" t="s">
        <v>22</v>
      </c>
    </row>
    <row r="737" spans="1:4" x14ac:dyDescent="0.25">
      <c r="A737" s="1">
        <v>45916</v>
      </c>
      <c r="B737" t="s">
        <v>401</v>
      </c>
      <c r="C737" s="2">
        <v>2.9</v>
      </c>
      <c r="D737" t="s">
        <v>22</v>
      </c>
    </row>
    <row r="738" spans="1:4" x14ac:dyDescent="0.25">
      <c r="A738" s="1">
        <v>45916</v>
      </c>
      <c r="B738" t="s">
        <v>396</v>
      </c>
      <c r="C738" s="2">
        <v>14.5</v>
      </c>
      <c r="D738" t="s">
        <v>22</v>
      </c>
    </row>
    <row r="739" spans="1:4" x14ac:dyDescent="0.25">
      <c r="A739" s="1">
        <v>45916</v>
      </c>
      <c r="B739" t="s">
        <v>108</v>
      </c>
      <c r="C739" s="2">
        <v>0.56000000000000005</v>
      </c>
      <c r="D739" t="s">
        <v>22</v>
      </c>
    </row>
    <row r="740" spans="1:4" x14ac:dyDescent="0.25">
      <c r="A740" s="1">
        <v>45927</v>
      </c>
      <c r="B740" t="s">
        <v>396</v>
      </c>
      <c r="C740" s="2">
        <v>14.5</v>
      </c>
      <c r="D740" t="s">
        <v>22</v>
      </c>
    </row>
    <row r="741" spans="1:4" x14ac:dyDescent="0.25">
      <c r="A741" s="1">
        <v>45927</v>
      </c>
      <c r="B741" t="s">
        <v>357</v>
      </c>
      <c r="C741" s="2">
        <v>7.9</v>
      </c>
      <c r="D741" t="s">
        <v>22</v>
      </c>
    </row>
    <row r="742" spans="1:4" x14ac:dyDescent="0.25">
      <c r="A742" s="1">
        <v>45927</v>
      </c>
      <c r="B742" t="s">
        <v>310</v>
      </c>
      <c r="C742" s="2">
        <v>8.2899999999999991</v>
      </c>
      <c r="D742" t="s">
        <v>22</v>
      </c>
    </row>
    <row r="743" spans="1:4" x14ac:dyDescent="0.25">
      <c r="A743" s="1">
        <v>45927</v>
      </c>
      <c r="B743" t="s">
        <v>391</v>
      </c>
      <c r="C743" s="2">
        <v>3.4</v>
      </c>
      <c r="D743" t="s">
        <v>22</v>
      </c>
    </row>
    <row r="744" spans="1:4" x14ac:dyDescent="0.25">
      <c r="A744" s="1">
        <v>45927</v>
      </c>
      <c r="B744" t="s">
        <v>374</v>
      </c>
      <c r="C744" s="2">
        <v>8.5</v>
      </c>
      <c r="D744" t="s">
        <v>22</v>
      </c>
    </row>
    <row r="745" spans="1:4" x14ac:dyDescent="0.25">
      <c r="A745" s="1">
        <v>45927</v>
      </c>
      <c r="B745" t="s">
        <v>212</v>
      </c>
      <c r="C745" s="2">
        <v>4.3</v>
      </c>
      <c r="D745" t="s">
        <v>22</v>
      </c>
    </row>
    <row r="746" spans="1:4" x14ac:dyDescent="0.25">
      <c r="A746" s="1">
        <v>45927</v>
      </c>
      <c r="B746" t="s">
        <v>402</v>
      </c>
      <c r="C746" s="2">
        <v>4.59</v>
      </c>
      <c r="D746" t="s">
        <v>22</v>
      </c>
    </row>
    <row r="747" spans="1:4" x14ac:dyDescent="0.25">
      <c r="A747" s="1">
        <v>45927</v>
      </c>
      <c r="B747" t="s">
        <v>330</v>
      </c>
      <c r="C747" s="2">
        <v>0.95</v>
      </c>
      <c r="D747" t="s">
        <v>22</v>
      </c>
    </row>
    <row r="748" spans="1:4" x14ac:dyDescent="0.25">
      <c r="A748" s="1">
        <v>45931</v>
      </c>
      <c r="B748" t="s">
        <v>403</v>
      </c>
      <c r="C748" s="2">
        <v>13.33</v>
      </c>
      <c r="D748" t="s">
        <v>22</v>
      </c>
    </row>
    <row r="749" spans="1:4" x14ac:dyDescent="0.25">
      <c r="A749" s="1">
        <v>45931</v>
      </c>
      <c r="B749" t="s">
        <v>404</v>
      </c>
      <c r="C749" s="2">
        <v>1.67</v>
      </c>
      <c r="D749" t="s">
        <v>22</v>
      </c>
    </row>
    <row r="750" spans="1:4" x14ac:dyDescent="0.25">
      <c r="A750" s="1">
        <v>45931</v>
      </c>
      <c r="B750" t="s">
        <v>140</v>
      </c>
      <c r="C750" s="2">
        <v>0.34</v>
      </c>
      <c r="D750" t="s">
        <v>22</v>
      </c>
    </row>
    <row r="751" spans="1:4" x14ac:dyDescent="0.25">
      <c r="A751" s="1">
        <v>45935</v>
      </c>
      <c r="B751" t="s">
        <v>405</v>
      </c>
      <c r="C751" s="2">
        <v>9.1</v>
      </c>
      <c r="D751" t="s">
        <v>22</v>
      </c>
    </row>
    <row r="752" spans="1:4" x14ac:dyDescent="0.25">
      <c r="A752" s="1">
        <v>45935</v>
      </c>
      <c r="B752" t="s">
        <v>406</v>
      </c>
      <c r="C752" s="2">
        <v>13.9</v>
      </c>
      <c r="D752" t="s">
        <v>22</v>
      </c>
    </row>
    <row r="753" spans="1:4" x14ac:dyDescent="0.25">
      <c r="A753" s="1">
        <v>45937</v>
      </c>
      <c r="B753" t="s">
        <v>357</v>
      </c>
      <c r="C753" s="2">
        <v>7.9</v>
      </c>
      <c r="D753" t="s">
        <v>22</v>
      </c>
    </row>
    <row r="754" spans="1:4" x14ac:dyDescent="0.25">
      <c r="A754" s="1">
        <v>45937</v>
      </c>
      <c r="B754" t="s">
        <v>407</v>
      </c>
      <c r="C754" s="2">
        <v>16.899999999999999</v>
      </c>
      <c r="D754" t="s">
        <v>22</v>
      </c>
    </row>
    <row r="755" spans="1:4" x14ac:dyDescent="0.25">
      <c r="A755" s="1">
        <v>45937</v>
      </c>
      <c r="B755" t="s">
        <v>408</v>
      </c>
      <c r="C755" s="2">
        <v>6.9</v>
      </c>
      <c r="D755" t="s">
        <v>22</v>
      </c>
    </row>
    <row r="756" spans="1:4" x14ac:dyDescent="0.25">
      <c r="A756" s="1">
        <v>45937</v>
      </c>
      <c r="B756" t="s">
        <v>212</v>
      </c>
      <c r="C756" s="2">
        <v>4.3</v>
      </c>
      <c r="D756" t="s">
        <v>22</v>
      </c>
    </row>
    <row r="757" spans="1:4" x14ac:dyDescent="0.25">
      <c r="A757" s="1">
        <v>45942</v>
      </c>
      <c r="B757" s="1" t="s">
        <v>409</v>
      </c>
      <c r="C757" s="2">
        <v>5.95</v>
      </c>
      <c r="D757" t="s">
        <v>22</v>
      </c>
    </row>
    <row r="758" spans="1:4" x14ac:dyDescent="0.25">
      <c r="A758" s="1">
        <v>45942</v>
      </c>
      <c r="B758" t="s">
        <v>410</v>
      </c>
      <c r="C758" s="2">
        <v>6.9</v>
      </c>
      <c r="D758" t="s">
        <v>22</v>
      </c>
    </row>
    <row r="759" spans="1:4" x14ac:dyDescent="0.25">
      <c r="A759" s="1">
        <v>45942</v>
      </c>
      <c r="B759" t="s">
        <v>49</v>
      </c>
      <c r="C759" s="2">
        <v>7.9</v>
      </c>
      <c r="D759" t="s">
        <v>22</v>
      </c>
    </row>
    <row r="760" spans="1:4" x14ac:dyDescent="0.25">
      <c r="A760" s="1">
        <v>45942</v>
      </c>
      <c r="B760" t="s">
        <v>342</v>
      </c>
      <c r="C760" s="2">
        <v>1.02</v>
      </c>
      <c r="D760" t="s">
        <v>22</v>
      </c>
    </row>
    <row r="761" spans="1:4" x14ac:dyDescent="0.25">
      <c r="A761" s="1">
        <v>45942</v>
      </c>
      <c r="B761" t="s">
        <v>411</v>
      </c>
      <c r="C761" s="2">
        <v>3.63</v>
      </c>
      <c r="D761" t="s">
        <v>22</v>
      </c>
    </row>
    <row r="762" spans="1:4" x14ac:dyDescent="0.25">
      <c r="A762" s="1">
        <v>45942</v>
      </c>
      <c r="B762" t="s">
        <v>404</v>
      </c>
      <c r="C762" s="2">
        <v>0.91</v>
      </c>
      <c r="D762" t="s">
        <v>22</v>
      </c>
    </row>
    <row r="763" spans="1:4" x14ac:dyDescent="0.25">
      <c r="A763" s="1">
        <v>45942</v>
      </c>
      <c r="B763" t="s">
        <v>412</v>
      </c>
      <c r="C763" s="2">
        <v>7.2</v>
      </c>
      <c r="D763" t="s">
        <v>22</v>
      </c>
    </row>
    <row r="764" spans="1:4" x14ac:dyDescent="0.25">
      <c r="A764" s="1">
        <v>45942</v>
      </c>
      <c r="B764" t="s">
        <v>212</v>
      </c>
      <c r="C764" s="2">
        <v>4.3</v>
      </c>
      <c r="D764" t="s">
        <v>22</v>
      </c>
    </row>
    <row r="765" spans="1:4" x14ac:dyDescent="0.25">
      <c r="A765" s="1">
        <v>45946</v>
      </c>
      <c r="B765" t="s">
        <v>112</v>
      </c>
      <c r="C765" s="2">
        <v>7.95</v>
      </c>
      <c r="D765" t="s">
        <v>22</v>
      </c>
    </row>
    <row r="766" spans="1:4" x14ac:dyDescent="0.25">
      <c r="A766" s="1">
        <v>45946</v>
      </c>
      <c r="B766" t="s">
        <v>106</v>
      </c>
      <c r="C766" s="2">
        <v>3.03</v>
      </c>
      <c r="D766" t="s">
        <v>22</v>
      </c>
    </row>
    <row r="767" spans="1:4" x14ac:dyDescent="0.25">
      <c r="A767" s="1">
        <v>45946</v>
      </c>
      <c r="B767" t="s">
        <v>413</v>
      </c>
      <c r="C767" s="2">
        <v>0.64</v>
      </c>
      <c r="D767" t="s">
        <v>22</v>
      </c>
    </row>
    <row r="768" spans="1:4" x14ac:dyDescent="0.25">
      <c r="A768" s="1">
        <v>45946</v>
      </c>
      <c r="B768" t="s">
        <v>342</v>
      </c>
      <c r="C768" s="2">
        <v>0.92</v>
      </c>
      <c r="D768" t="s">
        <v>22</v>
      </c>
    </row>
    <row r="769" spans="1:4" x14ac:dyDescent="0.25">
      <c r="A769" s="1">
        <v>45946</v>
      </c>
      <c r="B769" t="s">
        <v>131</v>
      </c>
      <c r="C769" s="2">
        <v>4.4400000000000004</v>
      </c>
      <c r="D769" t="s">
        <v>22</v>
      </c>
    </row>
    <row r="770" spans="1:4" x14ac:dyDescent="0.25">
      <c r="A770" s="1">
        <v>45955</v>
      </c>
      <c r="B770" t="s">
        <v>414</v>
      </c>
      <c r="C770" s="2">
        <v>6.9</v>
      </c>
      <c r="D770" t="s">
        <v>22</v>
      </c>
    </row>
    <row r="771" spans="1:4" x14ac:dyDescent="0.25">
      <c r="A771" s="1">
        <v>45955</v>
      </c>
      <c r="B771" t="s">
        <v>415</v>
      </c>
      <c r="C771" s="2">
        <v>10</v>
      </c>
      <c r="D771" t="s">
        <v>22</v>
      </c>
    </row>
    <row r="772" spans="1:4" x14ac:dyDescent="0.25">
      <c r="A772" s="1">
        <v>45955</v>
      </c>
      <c r="B772" t="s">
        <v>416</v>
      </c>
      <c r="C772" s="2">
        <v>8.9499999999999993</v>
      </c>
      <c r="D772" t="s">
        <v>22</v>
      </c>
    </row>
    <row r="773" spans="1:4" x14ac:dyDescent="0.25">
      <c r="A773" s="1">
        <v>45955</v>
      </c>
      <c r="B773" t="s">
        <v>417</v>
      </c>
      <c r="C773" s="2">
        <v>13</v>
      </c>
      <c r="D773" t="s">
        <v>22</v>
      </c>
    </row>
    <row r="774" spans="1:4" x14ac:dyDescent="0.25">
      <c r="A774" s="1">
        <v>45955</v>
      </c>
      <c r="B774" t="s">
        <v>418</v>
      </c>
      <c r="C774" s="2">
        <v>7.45</v>
      </c>
      <c r="D774" t="s">
        <v>22</v>
      </c>
    </row>
    <row r="775" spans="1:4" x14ac:dyDescent="0.25">
      <c r="A775" s="1">
        <v>45955</v>
      </c>
      <c r="B775" t="s">
        <v>419</v>
      </c>
      <c r="C775" s="2">
        <v>4.9000000000000004</v>
      </c>
      <c r="D775" t="s">
        <v>22</v>
      </c>
    </row>
    <row r="776" spans="1:4" x14ac:dyDescent="0.25">
      <c r="A776" s="1">
        <v>45955</v>
      </c>
      <c r="B776" t="s">
        <v>244</v>
      </c>
      <c r="C776" s="2">
        <v>1.19</v>
      </c>
      <c r="D776" t="s">
        <v>22</v>
      </c>
    </row>
    <row r="777" spans="1:4" x14ac:dyDescent="0.25">
      <c r="A777" s="1">
        <v>45955</v>
      </c>
      <c r="B777" t="s">
        <v>330</v>
      </c>
      <c r="C777" s="2">
        <v>0.93</v>
      </c>
      <c r="D777" t="s">
        <v>22</v>
      </c>
    </row>
    <row r="778" spans="1:4" x14ac:dyDescent="0.25">
      <c r="A778" s="1">
        <v>45955</v>
      </c>
      <c r="B778" t="s">
        <v>420</v>
      </c>
      <c r="C778" s="2">
        <v>5.45</v>
      </c>
      <c r="D778" t="s">
        <v>22</v>
      </c>
    </row>
    <row r="779" spans="1:4" x14ac:dyDescent="0.25">
      <c r="A779" s="1">
        <v>45955</v>
      </c>
      <c r="B779" t="s">
        <v>212</v>
      </c>
      <c r="C779" s="2">
        <v>4.3</v>
      </c>
      <c r="D779" t="s">
        <v>22</v>
      </c>
    </row>
    <row r="780" spans="1:4" x14ac:dyDescent="0.25">
      <c r="A780" s="1">
        <v>45955</v>
      </c>
      <c r="B780" t="s">
        <v>421</v>
      </c>
      <c r="C780" s="2">
        <v>4.2</v>
      </c>
      <c r="D780" t="s">
        <v>22</v>
      </c>
    </row>
    <row r="781" spans="1:4" x14ac:dyDescent="0.25">
      <c r="A781" s="1">
        <v>45955</v>
      </c>
      <c r="B781" t="s">
        <v>422</v>
      </c>
      <c r="C781" s="2">
        <v>13.9</v>
      </c>
      <c r="D781" t="s">
        <v>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92D9-8D81-4D6D-9D00-CF5410D2E104}">
  <dimension ref="A2:I118"/>
  <sheetViews>
    <sheetView tabSelected="1" topLeftCell="A96" workbookViewId="0">
      <selection activeCell="G108" sqref="G108"/>
    </sheetView>
  </sheetViews>
  <sheetFormatPr defaultRowHeight="15" x14ac:dyDescent="0.25"/>
  <cols>
    <col min="1" max="1" width="14.28515625" customWidth="1"/>
    <col min="2" max="2" width="47.140625" customWidth="1"/>
    <col min="4" max="4" width="15.140625" customWidth="1"/>
    <col min="7" max="7" width="36.28515625" customWidth="1"/>
  </cols>
  <sheetData>
    <row r="2" spans="1:9" x14ac:dyDescent="0.25">
      <c r="A2" s="7">
        <v>45459</v>
      </c>
      <c r="B2" s="3" t="s">
        <v>149</v>
      </c>
      <c r="C2" s="8">
        <v>8.5399999999999991</v>
      </c>
      <c r="D2" s="4" t="s">
        <v>22</v>
      </c>
      <c r="F2" s="8">
        <v>1.2</v>
      </c>
    </row>
    <row r="3" spans="1:9" x14ac:dyDescent="0.25">
      <c r="A3" s="7">
        <v>45459</v>
      </c>
      <c r="B3" s="3" t="s">
        <v>147</v>
      </c>
      <c r="C3" s="8">
        <v>2.21</v>
      </c>
      <c r="D3" s="4" t="s">
        <v>22</v>
      </c>
      <c r="F3" s="8">
        <v>1</v>
      </c>
    </row>
    <row r="4" spans="1:9" x14ac:dyDescent="0.25">
      <c r="A4" s="9">
        <v>45459</v>
      </c>
      <c r="B4" s="5" t="s">
        <v>131</v>
      </c>
      <c r="C4" s="10">
        <v>5.82</v>
      </c>
      <c r="D4" s="6" t="s">
        <v>22</v>
      </c>
      <c r="F4" s="10">
        <v>3</v>
      </c>
    </row>
    <row r="5" spans="1:9" x14ac:dyDescent="0.25">
      <c r="A5" s="7">
        <v>45459</v>
      </c>
      <c r="B5" s="3" t="s">
        <v>154</v>
      </c>
      <c r="C5" s="8">
        <v>9.5299999999999994</v>
      </c>
      <c r="D5" s="4" t="s">
        <v>22</v>
      </c>
      <c r="F5" s="8">
        <v>10</v>
      </c>
    </row>
    <row r="6" spans="1:9" x14ac:dyDescent="0.25">
      <c r="A6" s="9">
        <v>45459</v>
      </c>
      <c r="B6" s="5" t="s">
        <v>156</v>
      </c>
      <c r="C6" s="10">
        <v>9.3000000000000007</v>
      </c>
      <c r="D6" s="6" t="s">
        <v>22</v>
      </c>
      <c r="F6" s="10">
        <v>1.29</v>
      </c>
    </row>
    <row r="7" spans="1:9" x14ac:dyDescent="0.25">
      <c r="A7" s="7"/>
      <c r="B7" s="3"/>
      <c r="C7" s="8"/>
      <c r="D7" s="4"/>
      <c r="F7" s="8">
        <v>0.1</v>
      </c>
    </row>
    <row r="8" spans="1:9" x14ac:dyDescent="0.25">
      <c r="A8" s="7">
        <v>45305</v>
      </c>
      <c r="B8" s="3" t="s">
        <v>67</v>
      </c>
      <c r="C8" s="8">
        <v>2.58</v>
      </c>
      <c r="D8" s="4" t="s">
        <v>22</v>
      </c>
      <c r="F8" s="11">
        <f>SUM(F2:F7)</f>
        <v>16.59</v>
      </c>
      <c r="G8" s="12" t="s">
        <v>189</v>
      </c>
    </row>
    <row r="9" spans="1:9" x14ac:dyDescent="0.25">
      <c r="C9" s="11">
        <f>SUM(C3:C8)</f>
        <v>29.440000000000005</v>
      </c>
    </row>
    <row r="12" spans="1:9" x14ac:dyDescent="0.25">
      <c r="B12" s="13" t="s">
        <v>190</v>
      </c>
      <c r="C12" s="14"/>
      <c r="G12" s="13" t="s">
        <v>255</v>
      </c>
      <c r="H12" s="14"/>
    </row>
    <row r="13" spans="1:9" x14ac:dyDescent="0.25">
      <c r="B13" s="15" t="s">
        <v>106</v>
      </c>
      <c r="C13" s="16">
        <v>2.71</v>
      </c>
      <c r="G13" s="18" t="s">
        <v>250</v>
      </c>
      <c r="H13" s="19">
        <v>11.57</v>
      </c>
      <c r="I13">
        <v>11.57</v>
      </c>
    </row>
    <row r="14" spans="1:9" x14ac:dyDescent="0.25">
      <c r="B14" s="14" t="s">
        <v>192</v>
      </c>
      <c r="C14" s="14">
        <v>0.5</v>
      </c>
      <c r="G14" s="5" t="s">
        <v>180</v>
      </c>
      <c r="H14" s="10">
        <v>0.28999999999999998</v>
      </c>
      <c r="I14">
        <v>0.28999999999999998</v>
      </c>
    </row>
    <row r="15" spans="1:9" x14ac:dyDescent="0.25">
      <c r="B15" s="14" t="s">
        <v>193</v>
      </c>
      <c r="C15" s="14">
        <v>0.5</v>
      </c>
      <c r="G15" s="5" t="s">
        <v>252</v>
      </c>
      <c r="H15" s="10">
        <v>5.6</v>
      </c>
      <c r="I15">
        <v>5.6</v>
      </c>
    </row>
    <row r="16" spans="1:9" x14ac:dyDescent="0.25">
      <c r="B16" s="14" t="s">
        <v>194</v>
      </c>
      <c r="C16" s="14">
        <v>3</v>
      </c>
      <c r="G16" s="5" t="s">
        <v>244</v>
      </c>
      <c r="H16" s="10">
        <v>1.57</v>
      </c>
      <c r="I16">
        <v>1.57</v>
      </c>
    </row>
    <row r="17" spans="2:9" x14ac:dyDescent="0.25">
      <c r="B17" s="14" t="s">
        <v>195</v>
      </c>
      <c r="C17" s="14">
        <v>3</v>
      </c>
      <c r="G17" s="3" t="s">
        <v>254</v>
      </c>
      <c r="H17" s="8">
        <v>36.5</v>
      </c>
      <c r="I17">
        <v>0.5</v>
      </c>
    </row>
    <row r="18" spans="2:9" x14ac:dyDescent="0.25">
      <c r="B18" s="14" t="s">
        <v>196</v>
      </c>
      <c r="C18" s="14">
        <v>10</v>
      </c>
      <c r="G18" s="3" t="s">
        <v>147</v>
      </c>
      <c r="H18" s="8">
        <v>2.21</v>
      </c>
      <c r="I18">
        <v>2.21</v>
      </c>
    </row>
    <row r="19" spans="2:9" x14ac:dyDescent="0.25">
      <c r="C19">
        <f>SUM(C13:C18)</f>
        <v>19.71</v>
      </c>
      <c r="D19" s="11">
        <f>19.71/3</f>
        <v>6.57</v>
      </c>
      <c r="H19" s="11">
        <f>SUM(H13:H18)</f>
        <v>57.74</v>
      </c>
      <c r="I19">
        <f>SUM(I13:I18)</f>
        <v>21.740000000000002</v>
      </c>
    </row>
    <row r="21" spans="2:9" x14ac:dyDescent="0.25">
      <c r="B21" s="13" t="s">
        <v>203</v>
      </c>
      <c r="C21" s="14"/>
      <c r="G21" s="12" t="s">
        <v>368</v>
      </c>
    </row>
    <row r="22" spans="2:9" x14ac:dyDescent="0.25">
      <c r="B22" s="15" t="s">
        <v>106</v>
      </c>
      <c r="C22" s="16">
        <v>2.71</v>
      </c>
      <c r="G22" s="3" t="s">
        <v>147</v>
      </c>
      <c r="H22" s="8">
        <v>2.21</v>
      </c>
    </row>
    <row r="23" spans="2:9" x14ac:dyDescent="0.25">
      <c r="B23" s="15" t="s">
        <v>131</v>
      </c>
      <c r="C23" s="16">
        <v>4.53</v>
      </c>
      <c r="G23" s="18" t="s">
        <v>250</v>
      </c>
      <c r="H23" s="19">
        <v>11.57</v>
      </c>
    </row>
    <row r="24" spans="2:9" x14ac:dyDescent="0.25">
      <c r="B24" s="15" t="s">
        <v>187</v>
      </c>
      <c r="C24" s="16">
        <v>4.9000000000000004</v>
      </c>
      <c r="G24" s="5" t="s">
        <v>48</v>
      </c>
      <c r="H24" s="10">
        <v>7.9</v>
      </c>
    </row>
    <row r="25" spans="2:9" x14ac:dyDescent="0.25">
      <c r="B25" s="15" t="s">
        <v>191</v>
      </c>
      <c r="C25" s="16">
        <v>3.9</v>
      </c>
      <c r="G25" s="5" t="s">
        <v>210</v>
      </c>
      <c r="H25" s="10">
        <v>5.3</v>
      </c>
    </row>
    <row r="26" spans="2:9" x14ac:dyDescent="0.25">
      <c r="B26" s="15" t="s">
        <v>226</v>
      </c>
      <c r="C26" s="16">
        <v>11.66</v>
      </c>
      <c r="G26" s="5" t="s">
        <v>329</v>
      </c>
      <c r="H26" s="10">
        <v>1</v>
      </c>
    </row>
    <row r="27" spans="2:9" x14ac:dyDescent="0.25">
      <c r="C27" s="11">
        <f>SUM(C22:C26)</f>
        <v>27.7</v>
      </c>
      <c r="D27">
        <f>27.7/3</f>
        <v>9.2333333333333325</v>
      </c>
      <c r="H27" s="11">
        <f>SUM(H22:H26)</f>
        <v>27.98</v>
      </c>
      <c r="I27">
        <f>27.98/3</f>
        <v>9.3266666666666662</v>
      </c>
    </row>
    <row r="29" spans="2:9" x14ac:dyDescent="0.25">
      <c r="B29" s="13" t="s">
        <v>347</v>
      </c>
      <c r="C29" s="14"/>
    </row>
    <row r="30" spans="2:9" x14ac:dyDescent="0.25">
      <c r="B30" s="3" t="s">
        <v>272</v>
      </c>
      <c r="C30" s="8">
        <v>8.94</v>
      </c>
    </row>
    <row r="31" spans="2:9" x14ac:dyDescent="0.25">
      <c r="B31" s="3" t="s">
        <v>131</v>
      </c>
      <c r="C31" s="8">
        <v>4.42</v>
      </c>
    </row>
    <row r="32" spans="2:9" x14ac:dyDescent="0.25">
      <c r="B32" s="5" t="s">
        <v>346</v>
      </c>
      <c r="C32" s="10">
        <v>2.65</v>
      </c>
    </row>
    <row r="33" spans="2:4" x14ac:dyDescent="0.25">
      <c r="B33" s="3" t="s">
        <v>187</v>
      </c>
      <c r="C33" s="8">
        <v>4.9000000000000004</v>
      </c>
    </row>
    <row r="34" spans="2:4" x14ac:dyDescent="0.25">
      <c r="C34" s="11">
        <f>SUM(C30:C33)</f>
        <v>20.909999999999997</v>
      </c>
      <c r="D34">
        <f>20.91/3</f>
        <v>6.97</v>
      </c>
    </row>
    <row r="36" spans="2:4" x14ac:dyDescent="0.25">
      <c r="B36" s="13" t="s">
        <v>242</v>
      </c>
      <c r="C36" s="14"/>
    </row>
    <row r="37" spans="2:4" x14ac:dyDescent="0.25">
      <c r="B37" s="14" t="s">
        <v>110</v>
      </c>
      <c r="C37" s="17">
        <v>5.9</v>
      </c>
    </row>
    <row r="38" spans="2:4" x14ac:dyDescent="0.25">
      <c r="B38" s="14" t="s">
        <v>210</v>
      </c>
      <c r="C38" s="17">
        <v>5.3</v>
      </c>
    </row>
    <row r="39" spans="2:4" x14ac:dyDescent="0.25">
      <c r="B39" s="14"/>
      <c r="C39" s="14"/>
    </row>
    <row r="40" spans="2:4" x14ac:dyDescent="0.25">
      <c r="B40" s="14"/>
      <c r="C40" s="14"/>
    </row>
    <row r="42" spans="2:4" x14ac:dyDescent="0.25">
      <c r="B42" s="12" t="s">
        <v>189</v>
      </c>
    </row>
    <row r="43" spans="2:4" x14ac:dyDescent="0.25">
      <c r="B43" s="15" t="s">
        <v>131</v>
      </c>
      <c r="C43" s="16">
        <v>4.6900000000000004</v>
      </c>
    </row>
    <row r="44" spans="2:4" x14ac:dyDescent="0.25">
      <c r="B44" s="15" t="s">
        <v>222</v>
      </c>
      <c r="C44" s="16">
        <v>3.4</v>
      </c>
    </row>
    <row r="45" spans="2:4" x14ac:dyDescent="0.25">
      <c r="B45" s="14" t="s">
        <v>226</v>
      </c>
      <c r="C45" s="17">
        <v>10.3</v>
      </c>
    </row>
    <row r="46" spans="2:4" x14ac:dyDescent="0.25">
      <c r="B46" s="15" t="s">
        <v>172</v>
      </c>
      <c r="C46" s="16">
        <v>3.25</v>
      </c>
    </row>
    <row r="47" spans="2:4" x14ac:dyDescent="0.25">
      <c r="B47" s="14" t="s">
        <v>208</v>
      </c>
      <c r="C47" s="17">
        <v>9.3000000000000007</v>
      </c>
    </row>
    <row r="48" spans="2:4" x14ac:dyDescent="0.25">
      <c r="B48" s="15" t="s">
        <v>108</v>
      </c>
      <c r="C48" s="16">
        <v>0.94</v>
      </c>
    </row>
    <row r="49" spans="2:5" x14ac:dyDescent="0.25">
      <c r="B49" s="14" t="s">
        <v>244</v>
      </c>
      <c r="C49" s="17">
        <v>1.2</v>
      </c>
    </row>
    <row r="50" spans="2:5" x14ac:dyDescent="0.25">
      <c r="B50" s="15" t="s">
        <v>140</v>
      </c>
      <c r="C50" s="16">
        <v>0.31</v>
      </c>
    </row>
    <row r="51" spans="2:5" x14ac:dyDescent="0.25">
      <c r="B51" s="15" t="s">
        <v>76</v>
      </c>
      <c r="C51" s="16">
        <v>1.1100000000000001</v>
      </c>
    </row>
    <row r="52" spans="2:5" x14ac:dyDescent="0.25">
      <c r="C52" s="11">
        <f>SUM(C43:C51)</f>
        <v>34.500000000000007</v>
      </c>
      <c r="D52">
        <f>34.5/3</f>
        <v>11.5</v>
      </c>
    </row>
    <row r="54" spans="2:5" x14ac:dyDescent="0.25">
      <c r="B54" s="12" t="s">
        <v>266</v>
      </c>
    </row>
    <row r="55" spans="2:5" x14ac:dyDescent="0.25">
      <c r="B55" s="3" t="s">
        <v>88</v>
      </c>
      <c r="C55" s="8">
        <v>5.3</v>
      </c>
    </row>
    <row r="56" spans="2:5" x14ac:dyDescent="0.25">
      <c r="B56" s="5" t="s">
        <v>262</v>
      </c>
      <c r="C56" s="10">
        <v>9.1999999999999993</v>
      </c>
    </row>
    <row r="57" spans="2:5" x14ac:dyDescent="0.25">
      <c r="B57" s="3" t="s">
        <v>263</v>
      </c>
      <c r="C57" s="8">
        <v>7.8</v>
      </c>
    </row>
    <row r="58" spans="2:5" x14ac:dyDescent="0.25">
      <c r="B58" s="5" t="s">
        <v>264</v>
      </c>
      <c r="C58" s="10">
        <v>4.7</v>
      </c>
    </row>
    <row r="59" spans="2:5" x14ac:dyDescent="0.25">
      <c r="B59" s="5" t="s">
        <v>286</v>
      </c>
      <c r="C59" s="10">
        <v>3.59</v>
      </c>
    </row>
    <row r="60" spans="2:5" x14ac:dyDescent="0.25">
      <c r="B60" s="3" t="s">
        <v>265</v>
      </c>
      <c r="C60" s="8">
        <v>8.4</v>
      </c>
    </row>
    <row r="61" spans="2:5" x14ac:dyDescent="0.25">
      <c r="C61" s="11">
        <f>SUM(C55:C60)</f>
        <v>38.99</v>
      </c>
      <c r="D61">
        <v>32.99</v>
      </c>
      <c r="E61">
        <f>32.99/3</f>
        <v>10.996666666666668</v>
      </c>
    </row>
    <row r="63" spans="2:5" x14ac:dyDescent="0.25">
      <c r="B63" s="21" t="s">
        <v>294</v>
      </c>
      <c r="C63" s="22"/>
    </row>
    <row r="64" spans="2:5" x14ac:dyDescent="0.25">
      <c r="B64" s="3" t="s">
        <v>291</v>
      </c>
      <c r="C64" s="8">
        <v>3</v>
      </c>
    </row>
    <row r="65" spans="2:7" x14ac:dyDescent="0.25">
      <c r="B65" s="5" t="s">
        <v>292</v>
      </c>
      <c r="C65" s="10">
        <v>4.8099999999999996</v>
      </c>
    </row>
    <row r="66" spans="2:7" x14ac:dyDescent="0.25">
      <c r="B66" s="5" t="s">
        <v>106</v>
      </c>
      <c r="C66" s="10">
        <v>2.66</v>
      </c>
    </row>
    <row r="67" spans="2:7" x14ac:dyDescent="0.25">
      <c r="B67" s="5" t="s">
        <v>140</v>
      </c>
      <c r="C67" s="10">
        <v>0.62</v>
      </c>
    </row>
    <row r="68" spans="2:7" x14ac:dyDescent="0.25">
      <c r="B68" s="3" t="s">
        <v>293</v>
      </c>
      <c r="C68" s="8">
        <v>36.82</v>
      </c>
    </row>
    <row r="69" spans="2:7" x14ac:dyDescent="0.25">
      <c r="B69" s="3" t="s">
        <v>147</v>
      </c>
      <c r="C69" s="8">
        <v>1.05</v>
      </c>
    </row>
    <row r="70" spans="2:7" x14ac:dyDescent="0.25">
      <c r="B70" s="5" t="s">
        <v>298</v>
      </c>
      <c r="C70" s="10">
        <v>2.5</v>
      </c>
    </row>
    <row r="71" spans="2:7" x14ac:dyDescent="0.25">
      <c r="C71" s="11">
        <f>SUM(C64:C70)</f>
        <v>51.459999999999994</v>
      </c>
      <c r="D71">
        <f>51.46/7</f>
        <v>7.3514285714285714</v>
      </c>
    </row>
    <row r="73" spans="2:7" x14ac:dyDescent="0.25">
      <c r="B73" s="12" t="s">
        <v>339</v>
      </c>
      <c r="C73" s="12"/>
    </row>
    <row r="74" spans="2:7" x14ac:dyDescent="0.25">
      <c r="B74" s="5"/>
      <c r="C74" s="10"/>
      <c r="G74" s="24" t="s">
        <v>344</v>
      </c>
    </row>
    <row r="75" spans="2:7" ht="15.75" customHeight="1" x14ac:dyDescent="0.25">
      <c r="B75" s="20" t="s">
        <v>106</v>
      </c>
      <c r="C75" s="10">
        <v>2.93</v>
      </c>
      <c r="G75" s="24"/>
    </row>
    <row r="76" spans="2:7" x14ac:dyDescent="0.25">
      <c r="B76" s="3" t="s">
        <v>328</v>
      </c>
      <c r="C76" s="8">
        <v>2.5</v>
      </c>
      <c r="G76" s="24"/>
    </row>
    <row r="77" spans="2:7" x14ac:dyDescent="0.25">
      <c r="B77" s="5" t="s">
        <v>329</v>
      </c>
      <c r="C77" s="10">
        <v>1</v>
      </c>
      <c r="G77" s="24"/>
    </row>
    <row r="78" spans="2:7" x14ac:dyDescent="0.25">
      <c r="B78" s="3" t="s">
        <v>244</v>
      </c>
      <c r="C78" s="8">
        <v>1.46</v>
      </c>
      <c r="G78" s="24"/>
    </row>
    <row r="79" spans="2:7" x14ac:dyDescent="0.25">
      <c r="B79" s="5" t="s">
        <v>330</v>
      </c>
      <c r="C79" s="10">
        <v>0.62</v>
      </c>
      <c r="G79" s="24"/>
    </row>
    <row r="80" spans="2:7" x14ac:dyDescent="0.25">
      <c r="B80" s="3" t="s">
        <v>179</v>
      </c>
      <c r="C80" s="8">
        <v>0.39</v>
      </c>
      <c r="G80" s="24"/>
    </row>
    <row r="81" spans="2:7" x14ac:dyDescent="0.25">
      <c r="B81" s="5" t="s">
        <v>331</v>
      </c>
      <c r="C81" s="10">
        <v>7.72</v>
      </c>
      <c r="G81" s="24"/>
    </row>
    <row r="82" spans="2:7" x14ac:dyDescent="0.25">
      <c r="B82" s="3" t="s">
        <v>292</v>
      </c>
      <c r="C82" s="8">
        <v>5.83</v>
      </c>
      <c r="G82" s="24"/>
    </row>
    <row r="83" spans="2:7" x14ac:dyDescent="0.25">
      <c r="B83" s="5" t="s">
        <v>332</v>
      </c>
      <c r="C83" s="10">
        <v>3</v>
      </c>
      <c r="G83" s="24"/>
    </row>
    <row r="84" spans="2:7" x14ac:dyDescent="0.25">
      <c r="B84" s="3" t="s">
        <v>333</v>
      </c>
      <c r="C84" s="8">
        <v>1.1000000000000001</v>
      </c>
      <c r="G84" s="24"/>
    </row>
    <row r="85" spans="2:7" x14ac:dyDescent="0.25">
      <c r="B85" s="5" t="s">
        <v>334</v>
      </c>
      <c r="C85" s="10">
        <v>3.2</v>
      </c>
      <c r="G85" s="24"/>
    </row>
    <row r="86" spans="2:7" x14ac:dyDescent="0.25">
      <c r="B86" s="3" t="s">
        <v>335</v>
      </c>
      <c r="C86" s="8">
        <v>1.73</v>
      </c>
      <c r="G86" s="24"/>
    </row>
    <row r="87" spans="2:7" x14ac:dyDescent="0.25">
      <c r="B87" s="5" t="s">
        <v>336</v>
      </c>
      <c r="C87" s="10">
        <v>6.2</v>
      </c>
      <c r="G87" s="24"/>
    </row>
    <row r="88" spans="2:7" x14ac:dyDescent="0.25">
      <c r="C88" s="11">
        <f>SUM(C74:C87)</f>
        <v>37.680000000000007</v>
      </c>
      <c r="D88">
        <f>37.68/4</f>
        <v>9.42</v>
      </c>
    </row>
    <row r="90" spans="2:7" x14ac:dyDescent="0.25">
      <c r="B90" t="s">
        <v>348</v>
      </c>
    </row>
    <row r="91" spans="2:7" x14ac:dyDescent="0.25">
      <c r="G91" s="23" t="s">
        <v>348</v>
      </c>
    </row>
    <row r="92" spans="2:7" x14ac:dyDescent="0.25">
      <c r="G92" s="23" t="s">
        <v>349</v>
      </c>
    </row>
    <row r="93" spans="2:7" x14ac:dyDescent="0.25">
      <c r="G93" s="23" t="s">
        <v>350</v>
      </c>
    </row>
    <row r="94" spans="2:7" x14ac:dyDescent="0.25">
      <c r="G94" s="23" t="s">
        <v>351</v>
      </c>
    </row>
    <row r="95" spans="2:7" x14ac:dyDescent="0.25">
      <c r="G95" s="23"/>
    </row>
    <row r="96" spans="2:7" x14ac:dyDescent="0.25">
      <c r="G96" s="23"/>
    </row>
    <row r="97" spans="2:7" x14ac:dyDescent="0.25">
      <c r="G97" s="23" t="s">
        <v>352</v>
      </c>
    </row>
    <row r="98" spans="2:7" x14ac:dyDescent="0.25">
      <c r="G98" s="23" t="s">
        <v>353</v>
      </c>
    </row>
    <row r="99" spans="2:7" x14ac:dyDescent="0.25">
      <c r="G99" s="23" t="s">
        <v>354</v>
      </c>
    </row>
    <row r="100" spans="2:7" x14ac:dyDescent="0.25">
      <c r="G100" s="23"/>
    </row>
    <row r="101" spans="2:7" x14ac:dyDescent="0.25">
      <c r="B101" t="s">
        <v>395</v>
      </c>
    </row>
    <row r="102" spans="2:7" x14ac:dyDescent="0.25">
      <c r="B102" s="5" t="s">
        <v>391</v>
      </c>
      <c r="C102" s="10">
        <v>3.4</v>
      </c>
    </row>
    <row r="103" spans="2:7" x14ac:dyDescent="0.25">
      <c r="B103" s="3" t="s">
        <v>392</v>
      </c>
      <c r="C103" s="8">
        <v>8.6</v>
      </c>
    </row>
    <row r="104" spans="2:7" x14ac:dyDescent="0.25">
      <c r="B104" s="5" t="s">
        <v>330</v>
      </c>
      <c r="C104" s="10">
        <v>1.07</v>
      </c>
    </row>
    <row r="105" spans="2:7" x14ac:dyDescent="0.25">
      <c r="B105" s="3" t="s">
        <v>342</v>
      </c>
      <c r="C105" s="8">
        <v>0.92</v>
      </c>
    </row>
    <row r="106" spans="2:7" x14ac:dyDescent="0.25">
      <c r="B106" s="5" t="s">
        <v>272</v>
      </c>
      <c r="C106" s="10">
        <v>6.58</v>
      </c>
    </row>
    <row r="107" spans="2:7" x14ac:dyDescent="0.25">
      <c r="B107" s="3" t="s">
        <v>393</v>
      </c>
      <c r="C107" s="8">
        <v>14.9</v>
      </c>
    </row>
    <row r="108" spans="2:7" x14ac:dyDescent="0.25">
      <c r="B108" s="5" t="s">
        <v>377</v>
      </c>
      <c r="C108" s="10">
        <v>13.95</v>
      </c>
    </row>
    <row r="109" spans="2:7" x14ac:dyDescent="0.25">
      <c r="C109" s="11">
        <f>SUM(C103:C108)</f>
        <v>46.019999999999996</v>
      </c>
      <c r="D109">
        <f>46.02/5</f>
        <v>9.2040000000000006</v>
      </c>
    </row>
    <row r="113" spans="2:4" x14ac:dyDescent="0.25">
      <c r="B113" t="s">
        <v>423</v>
      </c>
    </row>
    <row r="114" spans="2:4" x14ac:dyDescent="0.25">
      <c r="B114" t="s">
        <v>342</v>
      </c>
      <c r="C114">
        <v>0.92</v>
      </c>
      <c r="D114">
        <v>0.92</v>
      </c>
    </row>
    <row r="115" spans="2:4" x14ac:dyDescent="0.25">
      <c r="B115" t="s">
        <v>419</v>
      </c>
      <c r="C115">
        <v>4.9000000000000004</v>
      </c>
      <c r="D115">
        <v>4.9000000000000004</v>
      </c>
    </row>
    <row r="116" spans="2:4" x14ac:dyDescent="0.25">
      <c r="B116" t="s">
        <v>409</v>
      </c>
      <c r="C116">
        <v>5.95</v>
      </c>
      <c r="D116">
        <v>3</v>
      </c>
    </row>
    <row r="117" spans="2:4" x14ac:dyDescent="0.25">
      <c r="B117" t="s">
        <v>405</v>
      </c>
      <c r="C117">
        <v>9.1</v>
      </c>
      <c r="D117">
        <v>0.2</v>
      </c>
    </row>
    <row r="118" spans="2:4" x14ac:dyDescent="0.25">
      <c r="C118">
        <f>SUM(C114:C117)</f>
        <v>20.869999999999997</v>
      </c>
      <c r="D118">
        <f>SUM(D114:D117)</f>
        <v>9.02</v>
      </c>
    </row>
  </sheetData>
  <mergeCells count="1">
    <mergeCell ref="G74:G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azry zuraidy</cp:lastModifiedBy>
  <dcterms:created xsi:type="dcterms:W3CDTF">2023-07-13T04:52:00Z</dcterms:created>
  <dcterms:modified xsi:type="dcterms:W3CDTF">2025-10-26T03:21:08Z</dcterms:modified>
</cp:coreProperties>
</file>